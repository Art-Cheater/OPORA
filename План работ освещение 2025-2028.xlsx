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Домрачева Ю.О\ПРОЕКТЫ\"/>
    </mc:Choice>
  </mc:AlternateContent>
  <xr:revisionPtr revIDLastSave="0" documentId="13_ncr:1_{A9B597AD-4027-4AA8-9EC6-F96B60E8F9C6}" xr6:coauthVersionLast="47" xr6:coauthVersionMax="47" xr10:uidLastSave="{00000000-0000-0000-0000-000000000000}"/>
  <bookViews>
    <workbookView xWindow="-120" yWindow="-120" windowWidth="20730" windowHeight="11160" firstSheet="4" activeTab="9" xr2:uid="{00000000-000D-0000-FFFF-FFFF00000000}"/>
  </bookViews>
  <sheets>
    <sheet name="План 2025" sheetId="9" r:id="rId1"/>
    <sheet name=" Судебное 2025" sheetId="14" r:id="rId2"/>
    <sheet name="Тех.прис.2025" sheetId="22" r:id="rId3"/>
    <sheet name="Дополнительно Тех.прис.2025" sheetId="24" r:id="rId4"/>
    <sheet name="План 2026" sheetId="21" r:id="rId5"/>
    <sheet name="Судебные 2026" sheetId="18" r:id="rId6"/>
    <sheet name="Тех.прис.2026" sheetId="25" r:id="rId7"/>
    <sheet name="План 2027" sheetId="19" r:id="rId8"/>
    <sheet name="План 2028" sheetId="23" r:id="rId9"/>
    <sheet name="План 2029" sheetId="15" r:id="rId10"/>
    <sheet name="План 2030" sheetId="20" r:id="rId11"/>
  </sheets>
  <definedNames>
    <definedName name="_xlnm.Print_Titles" localSheetId="0">'План 2025'!$2:$2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23" l="1"/>
  <c r="D29" i="23"/>
  <c r="C18" i="25"/>
  <c r="D18" i="25" l="1"/>
  <c r="D25" i="9" l="1"/>
  <c r="C25" i="9"/>
  <c r="D10" i="24" l="1"/>
  <c r="C10" i="24"/>
  <c r="D20" i="22" l="1"/>
  <c r="C20" i="22" l="1"/>
  <c r="D17" i="21" l="1"/>
  <c r="C17" i="21"/>
  <c r="D17" i="20" l="1"/>
  <c r="C17" i="20"/>
  <c r="C24" i="15"/>
  <c r="D17" i="19" l="1"/>
  <c r="C17" i="19"/>
  <c r="E10" i="18"/>
  <c r="C10" i="18"/>
  <c r="E22" i="14" l="1"/>
  <c r="D24" i="15" l="1"/>
  <c r="C22" i="14" l="1"/>
</calcChain>
</file>

<file path=xl/sharedStrings.xml><?xml version="1.0" encoding="utf-8"?>
<sst xmlns="http://schemas.openxmlformats.org/spreadsheetml/2006/main" count="777" uniqueCount="408">
  <si>
    <t>Наименование объектов</t>
  </si>
  <si>
    <t>№ п/п</t>
  </si>
  <si>
    <t xml:space="preserve">Начальник департамента городского хозяйства </t>
  </si>
  <si>
    <t>Гнездов Николай Сергеевич</t>
  </si>
  <si>
    <t>37-42-86</t>
  </si>
  <si>
    <t>Устройство наружного освещения в д. Зубковы</t>
  </si>
  <si>
    <t>Устройство наружного освещения ул. Толбухина от ул. Боровой до ул. Семашко (Коминтерн)</t>
  </si>
  <si>
    <t>Устройство наружного освещения ул. Колхозная (Коминтрен)</t>
  </si>
  <si>
    <t>Устройство наружного освещения ул. Клубная (Коминтрен)</t>
  </si>
  <si>
    <t>Расходы бюджета на 2025 год</t>
  </si>
  <si>
    <t>Устройство наружного освещения в д. Кобели (судебное)</t>
  </si>
  <si>
    <t>Устройство наружного освещения от д. 19 по ул. Майская до ул. Центральная п. Ганино</t>
  </si>
  <si>
    <t>№2-762/2024 от 07.02.2024</t>
  </si>
  <si>
    <t>№2-3789/2023 от 20.11.2023</t>
  </si>
  <si>
    <t>№2-1753/2020 от 17.03.2021</t>
  </si>
  <si>
    <t>Устройство наружного освещения ул. Крупская от ул. Каширской до Березниковского пер.</t>
  </si>
  <si>
    <t>Подрядчик</t>
  </si>
  <si>
    <t>Заключение контракта</t>
  </si>
  <si>
    <t>Номер контракта</t>
  </si>
  <si>
    <t>Устройство наружного освещения д. Ямново</t>
  </si>
  <si>
    <t>Расходы бюджета на 2025 год по НМЦК</t>
  </si>
  <si>
    <t>Сумма контракта</t>
  </si>
  <si>
    <t>ООО "Электосила"</t>
  </si>
  <si>
    <t>Устройство наружного освещения по ул. Некрасова от д. 71 до ул. Производственная</t>
  </si>
  <si>
    <t>ООО "Клевер-Лан"</t>
  </si>
  <si>
    <t>Ф.2024.001517</t>
  </si>
  <si>
    <t>Ф.2024.001508</t>
  </si>
  <si>
    <t>Устройство наружного освещения по пер. Народный д. 14-18</t>
  </si>
  <si>
    <t>Устройство наружного освещения по ул. Германа Якшина Нововятский район</t>
  </si>
  <si>
    <t>Устройство наружного освещения по Октябрьский пр. 36 пешеходная зона вдоль школы 48</t>
  </si>
  <si>
    <t>Устройство наружного освещения Набережный провезд  (сл. Соломинцы)</t>
  </si>
  <si>
    <t>Устройство наружного освещения по ул. Жигаловская Нововятского района</t>
  </si>
  <si>
    <t>Устройство наружного освещения по ул. Конституции Нововятского района</t>
  </si>
  <si>
    <t>Устройство наружного освещения по пер. Ремесленный п. Дороничи</t>
  </si>
  <si>
    <t>Судебное решение</t>
  </si>
  <si>
    <t>Заключение котракта</t>
  </si>
  <si>
    <t>Примечание</t>
  </si>
  <si>
    <t>Устройство наружного освещения д. Сергеево ул. Клюквенная, Малиновая, Смородиновая</t>
  </si>
  <si>
    <t>ООО "Энергомашстрой"</t>
  </si>
  <si>
    <t>Ф.2024.001580</t>
  </si>
  <si>
    <t>Ф.2024.001570</t>
  </si>
  <si>
    <t>Устройство наружного освещения в д. Катковы (судебное)</t>
  </si>
  <si>
    <t xml:space="preserve">Устройство наружного освещения по ул. Бородулина </t>
  </si>
  <si>
    <t>Устройство наружного освещения от д. 22 по ул. Труда п. Садаковский до д. Кисели</t>
  </si>
  <si>
    <t>ИП Куликова</t>
  </si>
  <si>
    <t>Ф.2024.001594</t>
  </si>
  <si>
    <t>Ф.2024.001622</t>
  </si>
  <si>
    <t>Ф.2024.001632</t>
  </si>
  <si>
    <t>Ф.2024.001656</t>
  </si>
  <si>
    <t>Ф.2024.001777</t>
  </si>
  <si>
    <t>Ф.2024.001837</t>
  </si>
  <si>
    <t>ООО "Вольтаж"</t>
  </si>
  <si>
    <t>Ф.2024.001758</t>
  </si>
  <si>
    <t>выполнено</t>
  </si>
  <si>
    <t>Устройство наружного освещения  по ул. Луговой, ул. Садовой, ул. Зеленой, ул. Рабочей, ул. Нагорной, ул. Молодежной, ул. Щетинской, ул. Чудесной в п. Садаковский</t>
  </si>
  <si>
    <t xml:space="preserve">в контракте до 31.01.2025 </t>
  </si>
  <si>
    <t>Ф.2024.001219</t>
  </si>
  <si>
    <t>ООО "Монтажные технологии"</t>
  </si>
  <si>
    <t>Устройство наружного освещения  по ул. Думская, ул. Пустынная, п. Захарищево</t>
  </si>
  <si>
    <t>Ф.2024.001198</t>
  </si>
  <si>
    <t>Устройство наружного освещения  по ул. Варсеговой, ул. Клубничной, ул. Фруктовой, ул. Абрикосовой, ул. Персиковой, ул. Аносовской, ул. Ежевичной 1-8, Нововятский район</t>
  </si>
  <si>
    <t>Ф.2024.001200</t>
  </si>
  <si>
    <t>Устройство наружного освещения тротуара по четной стороне ул. Воровского от
ул. Производственной до ул. Екатерины Кочкиной</t>
  </si>
  <si>
    <t>№2-721/2024 от 07.02.2024</t>
  </si>
  <si>
    <t>Устройство наружного освещения в пересечении ул. Сутырина и ул. Свердлова</t>
  </si>
  <si>
    <t>Устройство наружного освещения д. Канахино, по ул. Переходная до ул. Ветровая</t>
  </si>
  <si>
    <t>Ф.2024.001861</t>
  </si>
  <si>
    <t>Результат</t>
  </si>
  <si>
    <t>Устройство наружного освещения от д. 14 по ул. Центральная до д. 28 по ул. Новая и от д.2 по ул. Центральная до д. 29 по ул. Новая д. Кокуй</t>
  </si>
  <si>
    <t xml:space="preserve">И. о. начальника департамента городского хозяйства </t>
  </si>
  <si>
    <t>№2-859/2022 от 26.04.2022</t>
  </si>
  <si>
    <t>Устройство наружного освещения автодороги п. Костино, д. Пестовы, п. Сосновый</t>
  </si>
  <si>
    <t>Устройство наружного освещения ул. Загородная</t>
  </si>
  <si>
    <t>№2-104/2023 от 29.04.2023</t>
  </si>
  <si>
    <t>Устройство наружного освещения по 1,2,3,4,5 пр. Победы п. Дороничи</t>
  </si>
  <si>
    <t>№2-104/2023 от 29.04.2023 №2-1049/2024 от 21.03.2024</t>
  </si>
  <si>
    <t xml:space="preserve">№2-2757/2022 </t>
  </si>
  <si>
    <t>№2-2694/2024 от 16.09.2024</t>
  </si>
  <si>
    <t>Устройство наружного освещения по Луганскому проезду от ул. Луганской до разворотного круга и по ул. Луганской до ул. Андрея Упита</t>
  </si>
  <si>
    <t>№2а-3352/2022 от 11.07.2022</t>
  </si>
  <si>
    <t xml:space="preserve">№2-4284/2021 </t>
  </si>
  <si>
    <t>Устройство наружного освещения ул. Гражданская в п. Лянгасово</t>
  </si>
  <si>
    <t>Устройство наружного освещения ул. Славянская в п. Чистые Пруды</t>
  </si>
  <si>
    <t>Устройство наружного освещения ул. Южная в п. Чистые Пруды</t>
  </si>
  <si>
    <t>Устройство наружного освещения переулка у Дубравы в п. Чистые Пруды</t>
  </si>
  <si>
    <t>Устройство наружного освещени ул. Набережная, Нововятский район</t>
  </si>
  <si>
    <t>Кузьмин Д. С.</t>
  </si>
  <si>
    <t>Обследование проведено</t>
  </si>
  <si>
    <t>Устройство наружного освещения в с. Бахта (с. Бахта от начала населенного пункта до д.7 по ул.  Юбилейная)</t>
  </si>
  <si>
    <t>Ф.2025.000061</t>
  </si>
  <si>
    <t>Ф.2025.000062</t>
  </si>
  <si>
    <t>Ф.2025.000072</t>
  </si>
  <si>
    <t>План</t>
  </si>
  <si>
    <t>Устройство наружного освещения д. Канахино, по ул. Переходная от ул. Ветровая до д. 36 д. Канахино</t>
  </si>
  <si>
    <t>Принят  17.01.2025</t>
  </si>
  <si>
    <t>Принят  15.01.2025</t>
  </si>
  <si>
    <t>Принят  26.12.2024</t>
  </si>
  <si>
    <t>Принят  21.02.2025</t>
  </si>
  <si>
    <t>Принят  23.01.2025</t>
  </si>
  <si>
    <t>Принят  19.02.2025</t>
  </si>
  <si>
    <t>Ф.2025.000065</t>
  </si>
  <si>
    <t>Сумма контракта (1560649,08) Принят 12.12.2024</t>
  </si>
  <si>
    <t>Ф.2024.001716</t>
  </si>
  <si>
    <t>ИП Куликова Л. А.</t>
  </si>
  <si>
    <t>Ф.2025.000341</t>
  </si>
  <si>
    <t>обращение от ТУ Октябрьского р-а №01-090Р-994вн от 26.03.2025</t>
  </si>
  <si>
    <t>ПАО РОССЕТИ Кировэнерго</t>
  </si>
  <si>
    <t>ПАО Россети Центр и Приволжье" - "Кировэнерго"</t>
  </si>
  <si>
    <t>Ф.2025.000571</t>
  </si>
  <si>
    <t>ООО "НОВЭК"</t>
  </si>
  <si>
    <t>Ф.2025.000572</t>
  </si>
  <si>
    <t>Ф.2025.000591</t>
  </si>
  <si>
    <t>Принят  05.03.2025</t>
  </si>
  <si>
    <t>обращение в ДГХ от 02.04.2025 за №21-32-73 от 05.04.2025</t>
  </si>
  <si>
    <t>Депутатское обращение №15 от 12.03.2025</t>
  </si>
  <si>
    <t>сообщение №265483637 от 15.04.2025 Обещание главы №2804-02-07 от 26.08.2025</t>
  </si>
  <si>
    <t xml:space="preserve">сообщение №258983575 от 13.03.2025 </t>
  </si>
  <si>
    <t>Принят  18.04.2025</t>
  </si>
  <si>
    <t>Принят 18.04.2025</t>
  </si>
  <si>
    <t>ООО "Металконтакт"</t>
  </si>
  <si>
    <t>1 этап выполнено 2 этап выполнено</t>
  </si>
  <si>
    <t>Устройство недостающего наружного освещени сл. Леваши ул. Строительная, Стретенская, Заозерная (особенно перкрестки и повороты)</t>
  </si>
  <si>
    <t>Обращение главе Симакову В. Н. №18-06-1174 от 25.02.2025</t>
  </si>
  <si>
    <t>Устройство наружного освещения ул. Ясеневая п. Дороничи</t>
  </si>
  <si>
    <t>Принят  06.05.2025</t>
  </si>
  <si>
    <t>Принят  19.04.2025</t>
  </si>
  <si>
    <t>Принят  27.05.2025</t>
  </si>
  <si>
    <t>Ф.2025.000785</t>
  </si>
  <si>
    <t>Ф.2025.000881</t>
  </si>
  <si>
    <t>Ф.2025.000864</t>
  </si>
  <si>
    <t>Ф.2025.000745</t>
  </si>
  <si>
    <t>Принят 05.05.2025</t>
  </si>
  <si>
    <t>Принят 27.05.2025</t>
  </si>
  <si>
    <t>№096/25</t>
  </si>
  <si>
    <t>Принят</t>
  </si>
  <si>
    <t>Устройство наружного освещения ул. Детства от сл. Луговые начало улицы до ул. Новослободская</t>
  </si>
  <si>
    <t>Устройство наружного освещения переулка от д. №53 по ул. Московской п. Садаковский и за его пределами на расстоянии не менее 100 метров</t>
  </si>
  <si>
    <t>Ф.2025.001146</t>
  </si>
  <si>
    <t>Ф.2025.001158</t>
  </si>
  <si>
    <t>Ф.2025.001208</t>
  </si>
  <si>
    <t>Устройство наружного освещения д. Гуси (дорога Киров - Русское)</t>
  </si>
  <si>
    <t>Устройство наружного освещения д. Балезинщина (дорога Киров - Русское)</t>
  </si>
  <si>
    <t>Устройство наружного освещения д. Першино (дорога Киров - Русское)</t>
  </si>
  <si>
    <t>Устройство наружного освещения п. Костино (дорога Киров - Русское)</t>
  </si>
  <si>
    <t>Устройство наружного освещения в с. Русское (дорога Киров - Русское)</t>
  </si>
  <si>
    <t>Устройство наружного освещения по ул. Мира от д. 40 до СТ ИВА п. Ганино</t>
  </si>
  <si>
    <t>Устройство наружного освещения  дороги от СТ Ива до ДОЛ Юность</t>
  </si>
  <si>
    <t>Устройство наружного освещения автомобильная дорога от ул. Советской в пос. Чистые Пруды до д. Кудино г. Кирова</t>
  </si>
  <si>
    <t>Устройство недостающего электрического освещения д. Луговики в г. Кирове.</t>
  </si>
  <si>
    <t>Устройство недостающего электрического освещения д. Студенец в г. Кирове.</t>
  </si>
  <si>
    <t>Устройство недостающего электрического освещения по ул. Боровой в г. Кирове.</t>
  </si>
  <si>
    <t>Устройство наружного освещения по 2-му Кирпичному переулку г. Кирова</t>
  </si>
  <si>
    <t>Устройство наружного освещения ул.Майская в пос. Костино</t>
  </si>
  <si>
    <t>Устройство недостающего электрического освещения д. Куликовской в г. Кирове.</t>
  </si>
  <si>
    <t>Устройство недостающего электрического освещения д. Кобели в г. Кирове.</t>
  </si>
  <si>
    <t>Расходы бюджета на 2026 год по НМЦК</t>
  </si>
  <si>
    <t>Устройство наружного освещения на перекрестке ул. Московская и ул. Казанская</t>
  </si>
  <si>
    <t>Устройство наружного освещения участка автомобильной дороги от ул. Проезжая города Кирова  до д. Барамзы Слободского района города Кирова</t>
  </si>
  <si>
    <t>№2-1278/2024 от 01.04.2024 №2а-2193/2024 от 05.09.2024 №2-104/2023 от 29.04.2023</t>
  </si>
  <si>
    <t>Устройство наружного освещени ул. Гоголя, п. Чистые Пруды</t>
  </si>
  <si>
    <t>Устройство наружного освещения от д. 44 до д. 54 по ул. Песочная            п. Чистые Пруды</t>
  </si>
  <si>
    <t>Устройство наружного освещения 1-ый Усадебный проезд, сл. Луговые</t>
  </si>
  <si>
    <t>Устройство наружного освещения 2-ый Усадебный проезд, сл. Луговые</t>
  </si>
  <si>
    <t>Устройство наружного освещения 3-ый Усадебный проезд, сл. Луговые</t>
  </si>
  <si>
    <t>Устройство наружного освещения 4-ый Усадебный проезд, сл. Луговые</t>
  </si>
  <si>
    <t>Устройство недостающего электрического освещения д. Загоски в г. Кирове.</t>
  </si>
  <si>
    <t>Устройство наружного освещения переулок Искожевский от ул. К. Маркса до Октябрьского проспекта</t>
  </si>
  <si>
    <t>Устройство наружного освещения п. Садаковский по ул. Столичная, ул. Добровольская, ул. Высокая</t>
  </si>
  <si>
    <t>Устройство наружного освещения проезд от д. 19 по ул. Северо-Садовая до ул. Сормовская</t>
  </si>
  <si>
    <t>Устройство наружного освещени п. Костино по ул. Производственная от Старомосковского тракта до СДТ Птицевод 1</t>
  </si>
  <si>
    <t>Устройство наружного освещения дороги от ул. Индустриальная мкр.Радужный до сл. Соломинцы</t>
  </si>
  <si>
    <t>Устройство наружного освещени ул. Маршала Жукова п. Чистые Пруды</t>
  </si>
  <si>
    <t>Устройство наружного освещени ул. Высоцкого п. Чистые Пруды</t>
  </si>
  <si>
    <t>Устройство наружного освещени д. Иунинцы от Победиловского тракта до СДТ Комунальщик</t>
  </si>
  <si>
    <t>Устройство наружного освещени д. Башарово</t>
  </si>
  <si>
    <t>Устройство наружного освещени ул. Земская п. Захарищево</t>
  </si>
  <si>
    <t>Устройство наружного освещени ул. Янтарная п. Захарищево</t>
  </si>
  <si>
    <t>Устройство наружного освещени ул. Хуторская п. Захарищево</t>
  </si>
  <si>
    <t>Устройство наружного освещени ул. Станичная п. Захарищево</t>
  </si>
  <si>
    <t>Устройство наружного освещени по д. Кушовы от Старомосковского тракта</t>
  </si>
  <si>
    <t>Устройство наружного освещени д. Воронье</t>
  </si>
  <si>
    <t>Устройство наружного освещени д. Сиухино</t>
  </si>
  <si>
    <t>Принят 18.07.2025</t>
  </si>
  <si>
    <t xml:space="preserve">  Принят 21.04.2025</t>
  </si>
  <si>
    <t>ООО ВПС</t>
  </si>
  <si>
    <t>Обращения населения</t>
  </si>
  <si>
    <t>Прокуроское предписание</t>
  </si>
  <si>
    <t>Устройство наружного освещения по проезду в районе дома 34 по ул. Потребкооперации от ул. Потребкооперации до Сл. Палкино</t>
  </si>
  <si>
    <t>Устройство наружного освещения  ул. Володарского от ул Профсоюзная по сл. Шевели</t>
  </si>
  <si>
    <t>Устройство наружного освещения  по ул. Московская от дома №209а до дома №1 по ул. Московская в п. Садаковский</t>
  </si>
  <si>
    <t>ООО "ВПС"</t>
  </si>
  <si>
    <t>Ф.2025.001316</t>
  </si>
  <si>
    <t>ООО "Просервис"</t>
  </si>
  <si>
    <t>Ф.2025.001222</t>
  </si>
  <si>
    <t>Устройство наружного освещения д. Колобовщина</t>
  </si>
  <si>
    <t>Устройство наружного освещения д. Репки</t>
  </si>
  <si>
    <t>Устройство наружного освещения д. Оверинцы</t>
  </si>
  <si>
    <t>Распоряжение Печенкина, Кузьмин на выездном совещании присутствовал</t>
  </si>
  <si>
    <t>Ф.2025.001372</t>
  </si>
  <si>
    <t>ООО "Регалстройстроймонтаж"</t>
  </si>
  <si>
    <t>Ф.2025.001369</t>
  </si>
  <si>
    <t>Ф.2025.001346</t>
  </si>
  <si>
    <t xml:space="preserve"> 01.03.2025 </t>
  </si>
  <si>
    <t>Срок выполнения работ</t>
  </si>
  <si>
    <t xml:space="preserve"> 31.12.2025</t>
  </si>
  <si>
    <t>Устройство наружного освещения  д. Кудино</t>
  </si>
  <si>
    <t>Устройство наружного освещения  д. Никуленки</t>
  </si>
  <si>
    <t>В закупках</t>
  </si>
  <si>
    <t>Продолжение дороги по ул. Советская п. Чистые пруды по наказам администрации с многочисленным просьбам населения</t>
  </si>
  <si>
    <t>Принят 22.08.2025</t>
  </si>
  <si>
    <t>Дорога Киров- Русское по судебному решению №2-104/2023 от 29.04.2023, в тексте решения д. Гуси не оозвучена, но освещение выполнить необходимо, так как там имеются поворты, видимость в ночное время плохое, концентрация ДТП значительная.</t>
  </si>
  <si>
    <t>Принят 27.08.2025</t>
  </si>
  <si>
    <t>Ф.2025.001409</t>
  </si>
  <si>
    <t>Ф.2025.001410</t>
  </si>
  <si>
    <t>Ф.2025.001411</t>
  </si>
  <si>
    <t>Устройство наружного освещения по ул. Калинина от ул. Пугачева до ж/д переезда</t>
  </si>
  <si>
    <t>Обращения населения, распоряжение Печенкина Д. С. Выполнить, так как сделали сквер Видный</t>
  </si>
  <si>
    <t>Выполнено</t>
  </si>
  <si>
    <t>Устройство наружного освещения ул. Германа Якшина Нововятский р-н</t>
  </si>
  <si>
    <t>Устройство наружного освещения ул. Савинская от нее ул. Благополучная, Счастливая, Перспективная, Дружелюбная, Лучезарная мкр. Радужный Новоятский р-н</t>
  </si>
  <si>
    <t>Устройство наружного освещения д. Пестовы основная дорога</t>
  </si>
  <si>
    <t>Устройство наружного освещения д. Чарушины основная дорога</t>
  </si>
  <si>
    <t>Устройство наружного освещения д. Опушни основная дорога</t>
  </si>
  <si>
    <t>Устройство наружного освещения с. Бахта ул. Юбилейная</t>
  </si>
  <si>
    <t>Устройство наружного освещения д. Репки основная дорога</t>
  </si>
  <si>
    <t>Устройство наружного освещения д. Оверинцы основная дорога</t>
  </si>
  <si>
    <t>Устройство наружного освещения д. Катковы</t>
  </si>
  <si>
    <t>Устройство наружного освещения д. Зубковы</t>
  </si>
  <si>
    <t>Устройство наружного освещения ул. Маршала Вершинина Нововятский р-н</t>
  </si>
  <si>
    <t>Устройство наружного освещения д. Студенец</t>
  </si>
  <si>
    <t>Устройство наружного освещения д. Луговики</t>
  </si>
  <si>
    <t>Устройство наружного освещения д. Балезинщина</t>
  </si>
  <si>
    <t>Устройство наружного освещения д. Кудино</t>
  </si>
  <si>
    <t>Устройство наружного освещения д. Никуленки</t>
  </si>
  <si>
    <t>Готовятся точки координат кадастровым инженером подрядчика</t>
  </si>
  <si>
    <t>Устройство наружного освещения Луганский проезд, ул. Луганская от ул. Менделеева до ул. Упита</t>
  </si>
  <si>
    <t>Устройство наружного освещения ул. Детства в сл. Луговые</t>
  </si>
  <si>
    <t>Устройство наружного освещения ул. Майская п. Ганино</t>
  </si>
  <si>
    <t>Устройство наружного освещения дорога на ДОЛ "Юность" в д. Боровые</t>
  </si>
  <si>
    <t>АО "Горэлектросеть"</t>
  </si>
  <si>
    <t>Устройство наружного освещения ул. Дмитрия Козулева</t>
  </si>
  <si>
    <t>Устройство наружного освещения ул. Малиновая, Клюквенная, Смородиновая д. Сергеево</t>
  </si>
  <si>
    <t>Обращение №18-06-6539 от 28.08.2025, а также ранее было обращение устроить освещение возле ООТ по прокуроскому запросу.</t>
  </si>
  <si>
    <t>Устройство наружного освещени д. Коробовская</t>
  </si>
  <si>
    <t>Депутатское  обращение Швецова О. В. к Печенкину Д. А. от 10.06.2024  за №25</t>
  </si>
  <si>
    <t>Обращение Симакову №18-06-1531 от 12.04.2025 письмо №19-08-2119вн (распоряжение заместителя главы администрации - главного архитектора от 23.07.2024 за №3292- арх, постановление главы города Кирова от 19.05.2025 за №42-02-05 "Публичное слушание" и заключению слушания от 17.06.2025 составлен протокол публичных слушаний от 17.06.2025 за №б/н по обращениюжителей от 11.06.2025 за №19-09-4729)</t>
  </si>
  <si>
    <t>Распоряжение Печенкина Д. А.</t>
  </si>
  <si>
    <t>Ф.2025.001412</t>
  </si>
  <si>
    <t>Устройство наружного освещени ул. Степановоская, Демидовская, Матвеевская сл. Варсеги</t>
  </si>
  <si>
    <t>Устройство наружного освещени ул. Набережная, 9а сл. Сломинцы</t>
  </si>
  <si>
    <t>Депутатское  обращение Седакова А. А. к Печенкину Д. С. от 09.09.2025 без номера и даты</t>
  </si>
  <si>
    <t>Там нет дороги, проезд ограничен</t>
  </si>
  <si>
    <t>Устройство наружного освещения ул. Смолистая, п. Сосновый</t>
  </si>
  <si>
    <t>Устройство наружного освещени по ул. Искра от д. 38 до окончания населенного пнкта Киров</t>
  </si>
  <si>
    <t>Обращение №18-06-6682 от 03.09.2025 на сообщение от 02.09.2025 №295542124</t>
  </si>
  <si>
    <t>Обращение №18-06-6665 от 03.09.2025 на сообщение от 01.09.2025 №295284527</t>
  </si>
  <si>
    <t>Устройство наружного освещени по ул. Комунны, с. Русское</t>
  </si>
  <si>
    <t>Выполнено, 3 кВт</t>
  </si>
  <si>
    <t>Выполнено, 6 кВт</t>
  </si>
  <si>
    <t xml:space="preserve">Устройство наружного освещения д. Кисели до п. Садаковский </t>
  </si>
  <si>
    <t>Принят 01.08.2025</t>
  </si>
  <si>
    <t>Принят 25.09.2025</t>
  </si>
  <si>
    <t>ООО "Металлконтакт"</t>
  </si>
  <si>
    <t>ПМКПК (Пермь)</t>
  </si>
  <si>
    <t>31.06.2026</t>
  </si>
  <si>
    <t>Устройство наружного освещения д. Канахины по ул. Переходная - основная дорога</t>
  </si>
  <si>
    <t xml:space="preserve"> МК № 431059258 от 01.07.25 г.</t>
  </si>
  <si>
    <t>МК № 431059393 от 01.07.25 г.</t>
  </si>
  <si>
    <t xml:space="preserve"> МК № 431059394 от 01.07.25 г.</t>
  </si>
  <si>
    <t>МК № 431060312 от 09.09.2025 г.</t>
  </si>
  <si>
    <t xml:space="preserve"> МК №  431060311 от 09.09.2025 г.</t>
  </si>
  <si>
    <t xml:space="preserve"> МК № 431060313 от 09.09.2025 г.</t>
  </si>
  <si>
    <t xml:space="preserve">МК № 431060310 от 09.09.2025 г. </t>
  </si>
  <si>
    <t>МК№ 431060309 от 09.09.2025 г.</t>
  </si>
  <si>
    <t>МК № 431060614 от 09.09.2025 г.</t>
  </si>
  <si>
    <t>МК № 385/24-25тп от 30.05.25 г.</t>
  </si>
  <si>
    <t>МК № 384/24-25 тп от 30.05.25 г.</t>
  </si>
  <si>
    <t>МК № 383/24-25тп от 30.05.25 г.</t>
  </si>
  <si>
    <t>МК № 382/24-25тп от 30.05.25 г.</t>
  </si>
  <si>
    <t>МК № 381/24-25тп от 30.05.25 г.</t>
  </si>
  <si>
    <t>МК № 123/24-25тп от 30.05.25 г.</t>
  </si>
  <si>
    <t>МК № 38/24-25тп от 30.05.25 г.</t>
  </si>
  <si>
    <t>Номер и дата контракта</t>
  </si>
  <si>
    <t>Остаток</t>
  </si>
  <si>
    <t>Устройство наружного освещения ул. Славянская п. Читсые Пруды</t>
  </si>
  <si>
    <t>Туров Александр Сергеевич</t>
  </si>
  <si>
    <t>Куратор</t>
  </si>
  <si>
    <t>Туров Алескандр Сергеевич</t>
  </si>
  <si>
    <t>остаток</t>
  </si>
  <si>
    <t>Устройство наружного освещения от д. 4 проезда Колесникова до д. Ломовская</t>
  </si>
  <si>
    <t>Обследование проведено, ТЗ подготовлено,  локально-смтный расчет готов</t>
  </si>
  <si>
    <t>Проведено обследование, идет подготовка рабочей документации</t>
  </si>
  <si>
    <t>Устройство наружного освещения д. Истоминцы</t>
  </si>
  <si>
    <t>Объект включен, освещение работает.</t>
  </si>
  <si>
    <t>Ведутся работы по устройству сетей наружного освещения</t>
  </si>
  <si>
    <t>Объект включен, дефект на сетях, написано письмо по гарантийным обязательствам.</t>
  </si>
  <si>
    <t>Устройство наружного освещения д. Гуси</t>
  </si>
  <si>
    <t>Информация по технологическому присоединению при устройстве наружного освещения в разрезе объектов (адресов) на 2025 год по состоянию 06.10.2025</t>
  </si>
  <si>
    <t>Ф.2025.001659</t>
  </si>
  <si>
    <t>Ф.2025.001658</t>
  </si>
  <si>
    <t>Устройство наружного освещения д. Кобели</t>
  </si>
  <si>
    <t>Ф.2025.001706</t>
  </si>
  <si>
    <t>Ф.2025.001650</t>
  </si>
  <si>
    <t>Информация по устройству наружного освещения в разрезе объектов (адресов) на 2025 год по состоянию 20.10.2025</t>
  </si>
  <si>
    <t>ООО "БС-Сервис"</t>
  </si>
  <si>
    <t>Ф.2025.001656</t>
  </si>
  <si>
    <t>Ф.2025.001655</t>
  </si>
  <si>
    <t>Принят 16.09.2025 Судебное №2a-2180/2025 от 01.09.2025</t>
  </si>
  <si>
    <t>Устройство наружного освещения ул. Лесопарковая сл. Лянгосы</t>
  </si>
  <si>
    <t>Устройство наружного освещения ул. Ульяновская от ул. Риммы Юровской до ул. Энтузивстов</t>
  </si>
  <si>
    <t>Устройство наружного освещения ул. Славная с. Русское</t>
  </si>
  <si>
    <t>Проводится обследование</t>
  </si>
  <si>
    <t>Участок основной проходной дороги с тротуаром, который остался без освещения. Планируется закрыть деньгами 2025 года.</t>
  </si>
  <si>
    <t>Обещание главы администрации. Судебное № 2a-2602/2025 от 03.09.2025 Планируется закрыть деньгами 2025 года.</t>
  </si>
  <si>
    <t>Работы планируют проводить только в следующем году.</t>
  </si>
  <si>
    <t>Контракт на контроле главы города Кирова Ковалевой Е. В.</t>
  </si>
  <si>
    <t>Ф.2025.001789</t>
  </si>
  <si>
    <t>Ф.2025.001805</t>
  </si>
  <si>
    <t>Ф.2025.001724</t>
  </si>
  <si>
    <t>Завезены опоры. Материалы приобретены. Проект на стадии согласования. Работы будут проводиться после 2х недель отрицательных температур, так как в деревне нет отсыпанных дорог, а только грунтовка (при работе спецтехники имеющиеся проезды будут приведены в негодность). Работы по установке опор планируются ориентировочно в январе 2025 года. Параллельно будут выполняться работы по монтажу ВЛИ, светильников и ящика</t>
  </si>
  <si>
    <t>Материалы заказаны, но ещё не поставлены на склад. Идут согласовательные процедуры. Планируемый период работы январь-февраль 2026</t>
  </si>
  <si>
    <t>Материалы заказаны, частично поставлены на склад. На текущий момент идёт установка опор (установлено 20 из 133 шт). Установка опор планируется к выполнению до 05.12.2025. Монтаж ВЛИ, светильников, КЛ и ящиков предполагается выполнить в течении декабря 2025-января 2026.</t>
  </si>
  <si>
    <t>Устройство наружного освещения по ул. Линейная мкр. Нововятск</t>
  </si>
  <si>
    <t>Распоряжение ДГХ Гнездова Н. С.</t>
  </si>
  <si>
    <t>Выполнено. В работу сеть наружного освещения введена. Идет приемка выполненных работ.</t>
  </si>
  <si>
    <t>Обращения населения.</t>
  </si>
  <si>
    <t>Опоры установлены. Забетонировано 53 из 105 шт. Материалы приобретены. Монтаж ВЛИ, светильников, ящика и КЛ планируется провести до 30 декабря 2025</t>
  </si>
  <si>
    <t>Согласованы земляные работы. Вывезены опоры. Куплены материалы. Дальнейшее выполнение работ осложнено большим количеством припаркованного транспорта. Приступить к установке опор планируется примерно в середине января.</t>
  </si>
  <si>
    <t>Ведутся работы по согласованию.</t>
  </si>
  <si>
    <t>Информация по устройству наружного освещения в разрезе объектов (адресов) на 2025 год по состоянию 30.12.2025</t>
  </si>
  <si>
    <t>Информация по технологическому присоединению при устройстве наружного освещения в разрезе объектов (адресов) на 2025 год по состоянию 30.12.2025</t>
  </si>
  <si>
    <t>Согласование в МУП Водоканал и Пирелли получили. Открывают ордер на земляные работы. Работы планируют проводить в январе 2026 года.</t>
  </si>
  <si>
    <t>Опоры установлены и забетонированы. Материалы приобретены. Монтаж ВЛИ, светильников и ящика планируется провести 30 января 2026 года.</t>
  </si>
  <si>
    <t>Устройство наружного освещения по ул. Советской выполнено на участке улицы Советской от ул. Ивана Попова до ул. Парковая. В работу сеть наружного освещения введена. Дальнейшие участки планирую провести в 2026 году.</t>
  </si>
  <si>
    <t>Оплачен. Объект включен от существующего однофазного технологического присоединения. Трехфазное новое технологическое присоединение запланировано на январь 2026 года.</t>
  </si>
  <si>
    <t xml:space="preserve">Не оплачен. Идет увеличение мощности существующего технологического присоединения. Запланировано на январь 2026 года. </t>
  </si>
  <si>
    <t>Устройство наружного освещения  по переулку Никульченскому д. Малая Субботиха</t>
  </si>
  <si>
    <t xml:space="preserve">Устройство наружного освещения ул. Юность д. Сергеево </t>
  </si>
  <si>
    <t>Устройство наружного освещения д. Истоменцы</t>
  </si>
  <si>
    <t>Устройство наружного освещения пер. Алтайский, пер. Шалаевский, пер. Бородинский в д. Бони</t>
  </si>
  <si>
    <t>Устройство наружного освещения д. Чарушино по ул. Чахловицкая, ул. Ландышева, ул. Чарушинская, пер. Чарушинский, проезд Чарушинский, ул. Черничная, ул. Пихтовая, ул. Облепиховая, ул. Разумовская, ул. Кипрейная</t>
  </si>
  <si>
    <t>Устройство наружного освещения ул. Малая Московская от ул. Малая Производственная до пр-та Строителей</t>
  </si>
  <si>
    <t>Устройство наружного освещения от д. 10 по ул. Головенкины до проезда Бытового п. Дороничи</t>
  </si>
  <si>
    <t>Продолжение устройства наружного освещения от д. Чарушино к с. Бахта (ходит школьный автобус). Утвержденный перечень на 25.10.2025 года И. о. начальника ДГХ Печенкин Д. А.</t>
  </si>
  <si>
    <t>По распоряжению ДГХ за №4725-21-21 от 15.09.2025. Утвержденный перечень на 25.10.2025 года И. о. начальника ДГХ Печенкин Д. А.</t>
  </si>
  <si>
    <t>Заявка у экономистов</t>
  </si>
  <si>
    <t>Принято 21.01.2026</t>
  </si>
  <si>
    <t>Устройство наружного освещения дороги от д. Пестовы до д. Канахины в г. Кирове.</t>
  </si>
  <si>
    <t>Устройство наружного освещения по ул. Пионерской в г. Кирове.</t>
  </si>
  <si>
    <t>Устройство наружного освещения д. Иуницы</t>
  </si>
  <si>
    <t>Информация по устройству наружного освещения в разрезе объектов (адресов) на 2026 год по состоянию 26.01.2026</t>
  </si>
  <si>
    <t>Информация по технологическому присоединению при устройстве наружного освещения в разрезе объектов (адресов) на 2026 год по состоянию 26.01.2026</t>
  </si>
  <si>
    <t>Расходы бюджета на 2027 год по НМЦК</t>
  </si>
  <si>
    <t>Устройство наружного освещения с. Русское</t>
  </si>
  <si>
    <t>Устройство наружного освещения ул. Восьмого Марта от д. 27 до д. 72 п. Коминтерн</t>
  </si>
  <si>
    <t>Давнее обращения жителей данных кварталов. Утвержденный перечень на 25.10.2025 года И. о. начальника ДГХ Печенкин Д. А.</t>
  </si>
  <si>
    <t>Обращения населения и Октябрьского ТУ. Утвержденный перечень на 25.10.2025 года И. о. начальника ДГХ Печенкин Д. А.</t>
  </si>
  <si>
    <t>Депутатское обращение Шлемензон Ю. Л. Утвержденный перечень на 25.10.2025 года И. о. начальника ДГХ Печенкин Д. А.</t>
  </si>
  <si>
    <t>Продолжение ул. Переходная - круг дороги п. Костино - д. Пестовы - д. Канахины - д. Садаковы - д. Гуси - п. Костино (ходит школьный автобус). Утвержденный перечень на 25.10.2025 года И. о. начальника ДГХ Печенкин Д. А.</t>
  </si>
  <si>
    <t>Давнишние обращения и обещания, которые идут через прокурорский запрос. Утвержденный перечень на 25.10.2025 года И. о. начальника ДГХ Печенкин Д. А.</t>
  </si>
  <si>
    <t>По запросу зам. начальника ДГХ Гнехдова С. Н. Утвержденный перечень на 25.10.2025 года И. о. начальника ДГХ Печенкин Д. А.</t>
  </si>
  <si>
    <t>Устройство наружного освещения ул. Восьмого Марта п. Коминтерн</t>
  </si>
  <si>
    <t>Устройство наружного освещения пер. Никульчинский п. Малая Субботиха</t>
  </si>
  <si>
    <t>Устройство наружного освещения д. Петуховы г. Кирова.</t>
  </si>
  <si>
    <t>Устройство наружного освещения д. Пушкари г. Кирова.</t>
  </si>
  <si>
    <t>Устройство недостающего электрического освещения в д. Сумароки г. Кирова.</t>
  </si>
  <si>
    <t>Расходы бюджета на 2028 год по НМЦК</t>
  </si>
  <si>
    <t>Устройство недостающего электрического освещения д. Счастливцевы</t>
  </si>
  <si>
    <t>Устройство недостающего электрического освещения д. Качергинцы</t>
  </si>
  <si>
    <t>Устройство недостающего электрического освещения д. Нижнее Скопино</t>
  </si>
  <si>
    <t>Устройство недостающего электрического освещения д. Чучино</t>
  </si>
  <si>
    <t>Неоднократные обращения от населения</t>
  </si>
  <si>
    <t>Депутатское обращение Ковалевой Е. В.</t>
  </si>
  <si>
    <t>Депутатское обращение Ковалевой Е. В. Утвержденный перечень на 25.10.2025 года И. о. начальника ДГХ Печенкин Д. А.</t>
  </si>
  <si>
    <t>Ранее подготовленный расчет. Необходимо обследование и уточнение расчета.</t>
  </si>
  <si>
    <t>Есть технические вопросы, так как с обеих сторон проходят сети.</t>
  </si>
  <si>
    <t xml:space="preserve">Депутатское обращение Шлемензон Ю. Л. </t>
  </si>
  <si>
    <t>Запрос Кузьмина Д. С. по просьбе Ковалевой Е. В.</t>
  </si>
  <si>
    <t>Устройство наружного освещения ул. Апрельская п. Коминтерн</t>
  </si>
  <si>
    <t>Устройство недостающего электрического освещения д. Прохоровцы</t>
  </si>
  <si>
    <t>Устройство недостающего электрического освещения д. Вехнее Скопино</t>
  </si>
  <si>
    <t>В виду расшерения дороги на четыре полосы и ранее было плохое освещение участка: три опоры на весь участок, пешеходный широкий и не освещен.</t>
  </si>
  <si>
    <t>Депутатское обращение Ковалевой Е. В., обращения населения.</t>
  </si>
  <si>
    <t>Обращения населения не первый год.</t>
  </si>
  <si>
    <t>Оследование проведено, находится за шлагбаумом.</t>
  </si>
  <si>
    <t>Обращения населения, прокуроский запрос.</t>
  </si>
  <si>
    <t>Депутатское  обращение Тырковой О. Е. к Семакову В. Н. от 22.04.2025  за №44-ЗС/ЛДПР-ТО и от 09.06.2025  за №55-ЗС/ЛДПР-ТОЕ Неоднократное обращение населения, запрос Первомайского ТУ.</t>
  </si>
  <si>
    <t>Информация по устройству наружного освещения в разрезе объектов (адресов) на 2029 год по состоянию 26.01.2026</t>
  </si>
  <si>
    <t>Устройство наружного освещения основной дороги д. Иуницы от знака начало и окончание населенного пункта</t>
  </si>
  <si>
    <t>Информация по устройству наружного освещения в разрезе объектов (адресов) на 2030 год по состоянию 21.06.2026</t>
  </si>
  <si>
    <t>Устройство наружного освещения дороги от д. Пестовы до            д. Монастырская</t>
  </si>
  <si>
    <t>Устройство наружного освещения проезда у д. 45А, 47А по ул. Фрезерной и д. 27Б по ул. Широковская</t>
  </si>
  <si>
    <t>Обследование проведено, ТЗ подготовлено,  локально-смтный расчет готов.</t>
  </si>
  <si>
    <t>Проводится обследование.</t>
  </si>
  <si>
    <t xml:space="preserve">И. о. начальника департамента городского хозяйства    С. А. Зотин </t>
  </si>
  <si>
    <t>Куратор   Алесандр Сергеевич Туров</t>
  </si>
  <si>
    <t>Устройство наружного освещения д. Эсауловы в г. Кирове (дорога с. Бахта - п. Соновый,                       ул. Истобенская, ул. Эсауловская)</t>
  </si>
  <si>
    <t>Устройство наружного освещения ул. Олега Кошевого п. Лянгасово</t>
  </si>
  <si>
    <t>Устройство наружного освещения проезд Молодежный от                 ул. Сосновой до ул. Лесной              п. Лянгасово</t>
  </si>
  <si>
    <t>Устройство наружного освещени   д. Югрино</t>
  </si>
  <si>
    <t>Устройство наружного освещени от ул. П. Корчагина до                        сл. Симоновская и дорога по сл. Симоновская</t>
  </si>
  <si>
    <t>Устройство наружного освещения дороги от Победиловского тракта до д. Чучи</t>
  </si>
  <si>
    <t>Устройство недостающего электрического освещения д. Чернядьевы</t>
  </si>
  <si>
    <t>Информация по устройству наружного освещения в разрезе объектов (адресов) на 2027 год по состоянию 30.01.2026</t>
  </si>
  <si>
    <t>Информация по устройству наружного освещения в разрезе объектов (адресов) на 2028 год по состоянию 30.01.2026</t>
  </si>
  <si>
    <t>Заявка подана</t>
  </si>
  <si>
    <t>Устройство наружного освещени аллея ул. Калинина от ул. Горького до ул. Чапаева</t>
  </si>
  <si>
    <t>Устройство наружного освещени ул. Харламовская, ул. Ветровая д. Канахины г. 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</si>
</sst>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3.5"/>
      <color theme="1"/>
      <name val="Times New Roman"/>
      <family val="1"/>
      <charset val="204"/>
    </font>
    <font>
      <sz val="1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08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shrinkToFi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 shrinkToFit="1"/>
    </xf>
    <xf numFmtId="0" fontId="11" fillId="0" borderId="1" xfId="0" applyFont="1" applyBorder="1"/>
    <xf numFmtId="0" fontId="11" fillId="0" borderId="4" xfId="0" applyFont="1" applyBorder="1"/>
    <xf numFmtId="0" fontId="11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 vertical="center" wrapText="1" shrinkToFit="1"/>
    </xf>
    <xf numFmtId="4" fontId="15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top" wrapText="1" shrinkToFit="1"/>
    </xf>
    <xf numFmtId="4" fontId="8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top"/>
    </xf>
    <xf numFmtId="0" fontId="8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4" fontId="15" fillId="2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0" xfId="0" applyFont="1" applyFill="1"/>
    <xf numFmtId="14" fontId="4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4" fontId="16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shrinkToFit="1"/>
    </xf>
    <xf numFmtId="4" fontId="10" fillId="2" borderId="1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top"/>
    </xf>
    <xf numFmtId="0" fontId="14" fillId="2" borderId="0" xfId="0" applyFont="1" applyFill="1" applyAlignment="1">
      <alignment horizontal="left" vertical="center" wrapText="1" shrinkToFit="1"/>
    </xf>
    <xf numFmtId="0" fontId="12" fillId="2" borderId="0" xfId="0" applyFont="1" applyFill="1" applyAlignment="1">
      <alignment horizontal="left" vertical="center" wrapText="1" shrinkToFit="1"/>
    </xf>
    <xf numFmtId="0" fontId="11" fillId="2" borderId="1" xfId="0" applyFont="1" applyFill="1" applyBorder="1"/>
    <xf numFmtId="0" fontId="4" fillId="2" borderId="0" xfId="0" applyFont="1" applyFill="1" applyAlignment="1">
      <alignment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horizontal="right" wrapText="1"/>
    </xf>
    <xf numFmtId="0" fontId="4" fillId="3" borderId="0" xfId="0" applyFont="1" applyFill="1"/>
    <xf numFmtId="0" fontId="8" fillId="3" borderId="1" xfId="0" applyFont="1" applyFill="1" applyBorder="1" applyAlignment="1">
      <alignment horizontal="left"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right" wrapText="1"/>
    </xf>
    <xf numFmtId="4" fontId="4" fillId="4" borderId="1" xfId="0" applyNumberFormat="1" applyFont="1" applyFill="1" applyBorder="1" applyAlignment="1">
      <alignment horizontal="right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 shrinkToFit="1"/>
    </xf>
    <xf numFmtId="0" fontId="4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4" fontId="8" fillId="4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shrinkToFit="1"/>
    </xf>
    <xf numFmtId="164" fontId="4" fillId="4" borderId="6" xfId="0" applyNumberFormat="1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 shrinkToFit="1"/>
    </xf>
    <xf numFmtId="4" fontId="4" fillId="4" borderId="4" xfId="0" applyNumberFormat="1" applyFont="1" applyFill="1" applyBorder="1" applyAlignment="1">
      <alignment horizontal="right"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4" borderId="0" xfId="0" applyFill="1" applyBorder="1" applyAlignment="1">
      <alignment horizontal="center" vertical="top"/>
    </xf>
    <xf numFmtId="4" fontId="4" fillId="4" borderId="1" xfId="0" applyNumberFormat="1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left" vertical="top" wrapText="1" shrinkToFi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right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4" fillId="4" borderId="5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right" wrapText="1"/>
    </xf>
    <xf numFmtId="0" fontId="4" fillId="4" borderId="0" xfId="0" applyFont="1" applyFill="1" applyAlignment="1">
      <alignment horizontal="center"/>
    </xf>
    <xf numFmtId="14" fontId="4" fillId="4" borderId="1" xfId="0" applyNumberFormat="1" applyFont="1" applyFill="1" applyBorder="1"/>
    <xf numFmtId="4" fontId="8" fillId="4" borderId="1" xfId="2" applyNumberFormat="1" applyFont="1" applyFill="1" applyBorder="1" applyAlignment="1">
      <alignment horizontal="right"/>
    </xf>
    <xf numFmtId="4" fontId="8" fillId="4" borderId="4" xfId="2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right" wrapText="1"/>
    </xf>
    <xf numFmtId="0" fontId="9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 shrinkToFit="1"/>
    </xf>
    <xf numFmtId="4" fontId="8" fillId="4" borderId="2" xfId="2" applyNumberFormat="1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right" wrapText="1"/>
    </xf>
    <xf numFmtId="0" fontId="4" fillId="4" borderId="2" xfId="0" applyFont="1" applyFill="1" applyBorder="1" applyAlignment="1">
      <alignment horizontal="right"/>
    </xf>
    <xf numFmtId="49" fontId="8" fillId="4" borderId="2" xfId="2" applyNumberFormat="1" applyFont="1" applyFill="1" applyBorder="1" applyAlignment="1">
      <alignment horizontal="center" vertical="top"/>
    </xf>
    <xf numFmtId="4" fontId="8" fillId="4" borderId="3" xfId="2" applyNumberFormat="1" applyFont="1" applyFill="1" applyBorder="1" applyAlignment="1">
      <alignment horizontal="right" vertical="center"/>
    </xf>
    <xf numFmtId="14" fontId="4" fillId="4" borderId="3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/>
    </xf>
    <xf numFmtId="14" fontId="4" fillId="4" borderId="3" xfId="0" applyNumberFormat="1" applyFont="1" applyFill="1" applyBorder="1" applyAlignment="1">
      <alignment horizontal="center" vertical="center"/>
    </xf>
    <xf numFmtId="4" fontId="8" fillId="4" borderId="4" xfId="2" applyNumberFormat="1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right"/>
    </xf>
    <xf numFmtId="14" fontId="4" fillId="4" borderId="4" xfId="0" applyNumberFormat="1" applyFont="1" applyFill="1" applyBorder="1" applyAlignment="1">
      <alignment horizontal="left" vertical="top" wrapText="1"/>
    </xf>
    <xf numFmtId="14" fontId="4" fillId="4" borderId="2" xfId="0" applyNumberFormat="1" applyFont="1" applyFill="1" applyBorder="1"/>
    <xf numFmtId="4" fontId="8" fillId="4" borderId="3" xfId="0" applyNumberFormat="1" applyFont="1" applyFill="1" applyBorder="1" applyAlignment="1">
      <alignment horizontal="right" vertical="center" wrapText="1"/>
    </xf>
    <xf numFmtId="14" fontId="4" fillId="4" borderId="3" xfId="0" applyNumberFormat="1" applyFont="1" applyFill="1" applyBorder="1" applyAlignment="1">
      <alignment horizontal="right" vertical="center"/>
    </xf>
    <xf numFmtId="14" fontId="4" fillId="4" borderId="4" xfId="0" applyNumberFormat="1" applyFont="1" applyFill="1" applyBorder="1"/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" fontId="16" fillId="2" borderId="0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 shrinkToFi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4" fontId="15" fillId="2" borderId="0" xfId="0" applyNumberFormat="1" applyFont="1" applyFill="1" applyBorder="1" applyAlignment="1">
      <alignment horizontal="right" vertical="center" wrapText="1"/>
    </xf>
    <xf numFmtId="4" fontId="15" fillId="2" borderId="2" xfId="0" applyNumberFormat="1" applyFont="1" applyFill="1" applyBorder="1" applyAlignment="1">
      <alignment horizontal="right" vertical="center" wrapText="1"/>
    </xf>
    <xf numFmtId="4" fontId="15" fillId="2" borderId="3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/>
    <xf numFmtId="0" fontId="11" fillId="0" borderId="0" xfId="0" applyFont="1" applyAlignment="1">
      <alignment horizontal="left" vertical="center"/>
    </xf>
    <xf numFmtId="0" fontId="17" fillId="2" borderId="1" xfId="0" applyFont="1" applyFill="1" applyBorder="1"/>
    <xf numFmtId="4" fontId="16" fillId="2" borderId="1" xfId="2" applyNumberFormat="1" applyFont="1" applyFill="1" applyBorder="1" applyAlignment="1">
      <alignment horizontal="right"/>
    </xf>
    <xf numFmtId="0" fontId="18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4" fontId="4" fillId="3" borderId="1" xfId="0" applyNumberFormat="1" applyFont="1" applyFill="1" applyBorder="1" applyAlignment="1">
      <alignment vertical="center"/>
    </xf>
    <xf numFmtId="4" fontId="8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top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0" fillId="4" borderId="0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4" fontId="4" fillId="4" borderId="2" xfId="0" applyNumberFormat="1" applyFont="1" applyFill="1" applyBorder="1" applyAlignment="1">
      <alignment horizontal="right" vertical="center" wrapText="1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" fontId="10" fillId="2" borderId="4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right" wrapText="1"/>
    </xf>
    <xf numFmtId="0" fontId="9" fillId="4" borderId="1" xfId="0" applyFont="1" applyFill="1" applyBorder="1" applyAlignment="1">
      <alignment horizontal="left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4" borderId="0" xfId="0" applyFont="1" applyFill="1"/>
    <xf numFmtId="0" fontId="4" fillId="4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shrinkToFit="1"/>
    </xf>
    <xf numFmtId="0" fontId="9" fillId="3" borderId="1" xfId="0" applyFont="1" applyFill="1" applyBorder="1" applyAlignment="1">
      <alignment horizontal="left" vertical="center" wrapText="1" shrinkToFit="1"/>
    </xf>
    <xf numFmtId="14" fontId="4" fillId="3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164" fontId="4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right" wrapText="1"/>
    </xf>
    <xf numFmtId="4" fontId="3" fillId="2" borderId="4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vertical="center" wrapText="1"/>
    </xf>
    <xf numFmtId="0" fontId="0" fillId="0" borderId="0" xfId="0" applyAlignment="1"/>
    <xf numFmtId="0" fontId="4" fillId="2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3" borderId="0" xfId="0" applyFill="1" applyAlignment="1"/>
    <xf numFmtId="0" fontId="0" fillId="3" borderId="0" xfId="0" applyFill="1"/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4" fontId="4" fillId="2" borderId="4" xfId="0" applyNumberFormat="1" applyFont="1" applyFill="1" applyBorder="1" applyAlignment="1">
      <alignment horizontal="right" vertical="center" wrapText="1"/>
    </xf>
    <xf numFmtId="4" fontId="4" fillId="2" borderId="1" xfId="0" applyNumberFormat="1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6" fillId="0" borderId="7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3"/>
  <sheetViews>
    <sheetView zoomScaleNormal="100" workbookViewId="0">
      <pane xSplit="2" ySplit="2" topLeftCell="C9" activePane="bottomRight" state="frozen"/>
      <selection activeCell="S37" sqref="S37"/>
      <selection pane="topRight" activeCell="S37" sqref="S37"/>
      <selection pane="bottomLeft" activeCell="S37" sqref="S37"/>
      <selection pane="bottomRight" activeCell="C25" sqref="C25"/>
    </sheetView>
  </sheetViews>
  <sheetFormatPr defaultRowHeight="15" x14ac:dyDescent="0.25"/>
  <cols>
    <col min="1" max="1" width="9.140625" customWidth="1"/>
    <col min="2" max="2" width="90.42578125" style="19" customWidth="1"/>
    <col min="3" max="3" width="21.42578125" style="18" customWidth="1"/>
    <col min="4" max="4" width="18.42578125" style="18" customWidth="1"/>
    <col min="5" max="5" width="18.7109375" style="20" customWidth="1"/>
    <col min="6" max="6" width="23.7109375" customWidth="1"/>
    <col min="7" max="7" width="13.140625" style="16" customWidth="1"/>
    <col min="8" max="8" width="17.140625" style="16" customWidth="1"/>
    <col min="9" max="9" width="18.5703125" customWidth="1"/>
    <col min="10" max="10" width="19.85546875" customWidth="1"/>
  </cols>
  <sheetData>
    <row r="1" spans="1:10" ht="32.25" customHeight="1" x14ac:dyDescent="0.25">
      <c r="A1" s="275" t="s">
        <v>329</v>
      </c>
      <c r="B1" s="276"/>
      <c r="C1" s="276"/>
      <c r="D1" s="277"/>
      <c r="E1" s="277"/>
      <c r="F1" s="277"/>
      <c r="G1" s="277"/>
      <c r="H1" s="277"/>
      <c r="I1" s="277"/>
      <c r="J1" s="278"/>
    </row>
    <row r="2" spans="1:10" ht="30" customHeight="1" x14ac:dyDescent="0.25">
      <c r="A2" s="10" t="s">
        <v>1</v>
      </c>
      <c r="B2" s="5" t="s">
        <v>0</v>
      </c>
      <c r="C2" s="11" t="s">
        <v>20</v>
      </c>
      <c r="D2" s="11" t="s">
        <v>21</v>
      </c>
      <c r="E2" s="13" t="s">
        <v>203</v>
      </c>
      <c r="F2" s="14" t="s">
        <v>16</v>
      </c>
      <c r="G2" s="15" t="s">
        <v>17</v>
      </c>
      <c r="H2" s="14" t="s">
        <v>18</v>
      </c>
      <c r="I2" s="21" t="s">
        <v>67</v>
      </c>
      <c r="J2" s="12" t="s">
        <v>36</v>
      </c>
    </row>
    <row r="3" spans="1:10" s="120" customFormat="1" ht="30" customHeight="1" x14ac:dyDescent="0.25">
      <c r="A3" s="112">
        <v>1</v>
      </c>
      <c r="B3" s="113" t="s">
        <v>54</v>
      </c>
      <c r="C3" s="114">
        <v>1325448.6299999999</v>
      </c>
      <c r="D3" s="115">
        <v>1298000</v>
      </c>
      <c r="E3" s="116" t="s">
        <v>55</v>
      </c>
      <c r="F3" s="117" t="s">
        <v>57</v>
      </c>
      <c r="G3" s="118">
        <v>45503</v>
      </c>
      <c r="H3" s="116" t="s">
        <v>56</v>
      </c>
      <c r="I3" s="116" t="s">
        <v>53</v>
      </c>
      <c r="J3" s="119" t="s">
        <v>97</v>
      </c>
    </row>
    <row r="4" spans="1:10" s="120" customFormat="1" ht="30" x14ac:dyDescent="0.25">
      <c r="A4" s="112">
        <v>2</v>
      </c>
      <c r="B4" s="113" t="s">
        <v>58</v>
      </c>
      <c r="C4" s="114">
        <v>968285.19</v>
      </c>
      <c r="D4" s="115">
        <v>939000</v>
      </c>
      <c r="E4" s="121" t="s">
        <v>55</v>
      </c>
      <c r="F4" s="117" t="s">
        <v>57</v>
      </c>
      <c r="G4" s="122">
        <v>45493</v>
      </c>
      <c r="H4" s="121" t="s">
        <v>59</v>
      </c>
      <c r="I4" s="116" t="s">
        <v>53</v>
      </c>
      <c r="J4" s="119" t="s">
        <v>97</v>
      </c>
    </row>
    <row r="5" spans="1:10" s="120" customFormat="1" ht="30" customHeight="1" x14ac:dyDescent="0.25">
      <c r="A5" s="112">
        <v>3</v>
      </c>
      <c r="B5" s="123" t="s">
        <v>60</v>
      </c>
      <c r="C5" s="115">
        <v>2349992.15</v>
      </c>
      <c r="D5" s="115">
        <v>2446002.15</v>
      </c>
      <c r="E5" s="116" t="s">
        <v>55</v>
      </c>
      <c r="F5" s="117" t="s">
        <v>57</v>
      </c>
      <c r="G5" s="118">
        <v>45499</v>
      </c>
      <c r="H5" s="116" t="s">
        <v>61</v>
      </c>
      <c r="I5" s="116" t="s">
        <v>53</v>
      </c>
      <c r="J5" s="119" t="s">
        <v>96</v>
      </c>
    </row>
    <row r="6" spans="1:10" s="120" customFormat="1" ht="45" x14ac:dyDescent="0.25">
      <c r="A6" s="112">
        <v>4</v>
      </c>
      <c r="B6" s="124" t="s">
        <v>62</v>
      </c>
      <c r="C6" s="125">
        <v>405667.11</v>
      </c>
      <c r="D6" s="115">
        <v>405667.11</v>
      </c>
      <c r="E6" s="118">
        <v>45893</v>
      </c>
      <c r="F6" s="116" t="s">
        <v>38</v>
      </c>
      <c r="G6" s="118">
        <v>45611</v>
      </c>
      <c r="H6" s="116" t="s">
        <v>102</v>
      </c>
      <c r="I6" s="126" t="s">
        <v>120</v>
      </c>
      <c r="J6" s="127" t="s">
        <v>101</v>
      </c>
    </row>
    <row r="7" spans="1:10" s="120" customFormat="1" ht="15.75" x14ac:dyDescent="0.25">
      <c r="A7" s="112">
        <v>5</v>
      </c>
      <c r="B7" s="113" t="s">
        <v>5</v>
      </c>
      <c r="C7" s="128">
        <v>888440.64</v>
      </c>
      <c r="D7" s="128">
        <v>741847.75</v>
      </c>
      <c r="E7" s="118">
        <v>45717</v>
      </c>
      <c r="F7" s="116" t="s">
        <v>38</v>
      </c>
      <c r="G7" s="122">
        <v>45583</v>
      </c>
      <c r="H7" s="121" t="s">
        <v>40</v>
      </c>
      <c r="I7" s="116" t="s">
        <v>53</v>
      </c>
      <c r="J7" s="119" t="s">
        <v>99</v>
      </c>
    </row>
    <row r="8" spans="1:10" s="120" customFormat="1" ht="15.75" x14ac:dyDescent="0.25">
      <c r="A8" s="112">
        <v>6</v>
      </c>
      <c r="B8" s="113" t="s">
        <v>64</v>
      </c>
      <c r="C8" s="128">
        <v>321256.95</v>
      </c>
      <c r="D8" s="128">
        <v>315216</v>
      </c>
      <c r="E8" s="118">
        <v>45717</v>
      </c>
      <c r="F8" s="116" t="s">
        <v>22</v>
      </c>
      <c r="G8" s="118">
        <v>45558</v>
      </c>
      <c r="H8" s="116" t="s">
        <v>25</v>
      </c>
      <c r="I8" s="116" t="s">
        <v>53</v>
      </c>
      <c r="J8" s="129" t="s">
        <v>183</v>
      </c>
    </row>
    <row r="9" spans="1:10" s="120" customFormat="1" ht="15.75" x14ac:dyDescent="0.25">
      <c r="A9" s="112">
        <v>7</v>
      </c>
      <c r="B9" s="113" t="s">
        <v>23</v>
      </c>
      <c r="C9" s="128">
        <v>668490.66</v>
      </c>
      <c r="D9" s="128">
        <v>668490.66</v>
      </c>
      <c r="E9" s="118">
        <v>45747</v>
      </c>
      <c r="F9" s="116" t="s">
        <v>24</v>
      </c>
      <c r="G9" s="122">
        <v>45558</v>
      </c>
      <c r="H9" s="121" t="s">
        <v>25</v>
      </c>
      <c r="I9" s="116" t="s">
        <v>53</v>
      </c>
      <c r="J9" s="119" t="s">
        <v>95</v>
      </c>
    </row>
    <row r="10" spans="1:10" s="120" customFormat="1" ht="31.5" x14ac:dyDescent="0.25">
      <c r="A10" s="112">
        <v>8</v>
      </c>
      <c r="B10" s="113" t="s">
        <v>29</v>
      </c>
      <c r="C10" s="128">
        <v>715191.24</v>
      </c>
      <c r="D10" s="128">
        <v>649820.68000000005</v>
      </c>
      <c r="E10" s="116" t="s">
        <v>202</v>
      </c>
      <c r="F10" s="116" t="s">
        <v>22</v>
      </c>
      <c r="G10" s="118">
        <v>45554</v>
      </c>
      <c r="H10" s="116" t="s">
        <v>26</v>
      </c>
      <c r="I10" s="116" t="s">
        <v>53</v>
      </c>
      <c r="J10" s="119" t="s">
        <v>125</v>
      </c>
    </row>
    <row r="11" spans="1:10" s="120" customFormat="1" ht="15.75" x14ac:dyDescent="0.25">
      <c r="A11" s="112">
        <v>9</v>
      </c>
      <c r="B11" s="113" t="s">
        <v>19</v>
      </c>
      <c r="C11" s="128">
        <v>1133844.7</v>
      </c>
      <c r="D11" s="128">
        <v>992114.25</v>
      </c>
      <c r="E11" s="118">
        <v>45747</v>
      </c>
      <c r="F11" s="116" t="s">
        <v>38</v>
      </c>
      <c r="G11" s="122">
        <v>45595</v>
      </c>
      <c r="H11" s="121" t="s">
        <v>45</v>
      </c>
      <c r="I11" s="116" t="s">
        <v>53</v>
      </c>
      <c r="J11" s="119" t="s">
        <v>99</v>
      </c>
    </row>
    <row r="12" spans="1:10" s="120" customFormat="1" ht="15" customHeight="1" x14ac:dyDescent="0.25">
      <c r="A12" s="112">
        <v>10</v>
      </c>
      <c r="B12" s="113" t="s">
        <v>27</v>
      </c>
      <c r="C12" s="128">
        <v>135909.97</v>
      </c>
      <c r="D12" s="128">
        <v>129000</v>
      </c>
      <c r="E12" s="118">
        <v>45691</v>
      </c>
      <c r="F12" s="116" t="s">
        <v>38</v>
      </c>
      <c r="G12" s="122">
        <v>45579</v>
      </c>
      <c r="H12" s="121" t="s">
        <v>39</v>
      </c>
      <c r="I12" s="116" t="s">
        <v>53</v>
      </c>
      <c r="J12" s="119" t="s">
        <v>98</v>
      </c>
    </row>
    <row r="13" spans="1:10" s="120" customFormat="1" ht="15.75" x14ac:dyDescent="0.25">
      <c r="A13" s="112">
        <v>11</v>
      </c>
      <c r="B13" s="113" t="s">
        <v>28</v>
      </c>
      <c r="C13" s="128">
        <v>831905.06</v>
      </c>
      <c r="D13" s="128">
        <v>735220.22</v>
      </c>
      <c r="E13" s="118">
        <v>45777</v>
      </c>
      <c r="F13" s="116" t="s">
        <v>44</v>
      </c>
      <c r="G13" s="118">
        <v>45597</v>
      </c>
      <c r="H13" s="116" t="s">
        <v>46</v>
      </c>
      <c r="I13" s="116" t="s">
        <v>53</v>
      </c>
      <c r="J13" s="126" t="s">
        <v>134</v>
      </c>
    </row>
    <row r="14" spans="1:10" s="120" customFormat="1" ht="15.75" x14ac:dyDescent="0.25">
      <c r="A14" s="112">
        <v>12</v>
      </c>
      <c r="B14" s="113" t="s">
        <v>30</v>
      </c>
      <c r="C14" s="128">
        <v>531163.43000000005</v>
      </c>
      <c r="D14" s="128">
        <v>486014.52</v>
      </c>
      <c r="E14" s="118">
        <v>45809</v>
      </c>
      <c r="F14" s="116" t="s">
        <v>22</v>
      </c>
      <c r="G14" s="122">
        <v>45607</v>
      </c>
      <c r="H14" s="121" t="s">
        <v>48</v>
      </c>
      <c r="I14" s="116" t="s">
        <v>53</v>
      </c>
      <c r="J14" s="126" t="s">
        <v>134</v>
      </c>
    </row>
    <row r="15" spans="1:10" s="120" customFormat="1" ht="15.75" x14ac:dyDescent="0.25">
      <c r="A15" s="112">
        <v>13</v>
      </c>
      <c r="B15" s="113" t="s">
        <v>31</v>
      </c>
      <c r="C15" s="128">
        <v>807981.97</v>
      </c>
      <c r="D15" s="130">
        <v>713031.68000000005</v>
      </c>
      <c r="E15" s="118">
        <v>45809</v>
      </c>
      <c r="F15" s="116" t="s">
        <v>51</v>
      </c>
      <c r="G15" s="122">
        <v>45692</v>
      </c>
      <c r="H15" s="131" t="s">
        <v>89</v>
      </c>
      <c r="I15" s="116" t="s">
        <v>53</v>
      </c>
      <c r="J15" s="119" t="s">
        <v>126</v>
      </c>
    </row>
    <row r="16" spans="1:10" s="120" customFormat="1" ht="15.75" x14ac:dyDescent="0.25">
      <c r="A16" s="112">
        <v>14</v>
      </c>
      <c r="B16" s="113" t="s">
        <v>32</v>
      </c>
      <c r="C16" s="128">
        <v>1572724.73</v>
      </c>
      <c r="D16" s="130">
        <v>1431000</v>
      </c>
      <c r="E16" s="118">
        <v>45809</v>
      </c>
      <c r="F16" s="116" t="s">
        <v>38</v>
      </c>
      <c r="G16" s="122">
        <v>45693</v>
      </c>
      <c r="H16" s="131" t="s">
        <v>90</v>
      </c>
      <c r="I16" s="116" t="s">
        <v>53</v>
      </c>
      <c r="J16" s="126" t="s">
        <v>134</v>
      </c>
    </row>
    <row r="17" spans="1:10" s="120" customFormat="1" ht="32.25" thickBot="1" x14ac:dyDescent="0.3">
      <c r="A17" s="112">
        <v>15</v>
      </c>
      <c r="B17" s="132" t="s">
        <v>68</v>
      </c>
      <c r="C17" s="128">
        <v>328723</v>
      </c>
      <c r="D17" s="133">
        <v>327000</v>
      </c>
      <c r="E17" s="118">
        <v>45809</v>
      </c>
      <c r="F17" s="116" t="s">
        <v>38</v>
      </c>
      <c r="G17" s="122"/>
      <c r="H17" s="134" t="s">
        <v>91</v>
      </c>
      <c r="I17" s="116" t="s">
        <v>53</v>
      </c>
      <c r="J17" s="119" t="s">
        <v>124</v>
      </c>
    </row>
    <row r="18" spans="1:10" s="139" customFormat="1" ht="18.75" customHeight="1" x14ac:dyDescent="0.25">
      <c r="A18" s="135">
        <v>16</v>
      </c>
      <c r="B18" s="136" t="s">
        <v>37</v>
      </c>
      <c r="C18" s="137">
        <v>2248000.0299999998</v>
      </c>
      <c r="D18" s="128">
        <v>1995000</v>
      </c>
      <c r="E18" s="138">
        <v>45657</v>
      </c>
      <c r="F18" s="121" t="s">
        <v>38</v>
      </c>
      <c r="G18" s="122">
        <v>45631</v>
      </c>
      <c r="H18" s="117" t="s">
        <v>50</v>
      </c>
      <c r="I18" s="116" t="s">
        <v>53</v>
      </c>
      <c r="J18" s="119" t="s">
        <v>95</v>
      </c>
    </row>
    <row r="19" spans="1:10" s="120" customFormat="1" ht="15.75" x14ac:dyDescent="0.25">
      <c r="A19" s="112">
        <v>17</v>
      </c>
      <c r="B19" s="124" t="s">
        <v>74</v>
      </c>
      <c r="C19" s="125">
        <v>786006.34</v>
      </c>
      <c r="D19" s="128">
        <v>746006</v>
      </c>
      <c r="E19" s="118">
        <v>45657</v>
      </c>
      <c r="F19" s="116" t="s">
        <v>51</v>
      </c>
      <c r="G19" s="122">
        <v>45646</v>
      </c>
      <c r="H19" s="121" t="s">
        <v>52</v>
      </c>
      <c r="I19" s="116" t="s">
        <v>53</v>
      </c>
      <c r="J19" s="119" t="s">
        <v>94</v>
      </c>
    </row>
    <row r="20" spans="1:10" s="141" customFormat="1" ht="15.75" x14ac:dyDescent="0.25">
      <c r="A20" s="112">
        <v>18</v>
      </c>
      <c r="B20" s="113" t="s">
        <v>65</v>
      </c>
      <c r="C20" s="140">
        <v>230015.92</v>
      </c>
      <c r="D20" s="140">
        <v>230000</v>
      </c>
      <c r="E20" s="118">
        <v>45748</v>
      </c>
      <c r="F20" s="116" t="s">
        <v>38</v>
      </c>
      <c r="G20" s="118">
        <v>45638</v>
      </c>
      <c r="H20" s="116" t="s">
        <v>66</v>
      </c>
      <c r="I20" s="116" t="s">
        <v>53</v>
      </c>
      <c r="J20" s="119" t="s">
        <v>117</v>
      </c>
    </row>
    <row r="21" spans="1:10" s="141" customFormat="1" ht="31.5" x14ac:dyDescent="0.25">
      <c r="A21" s="112">
        <v>19</v>
      </c>
      <c r="B21" s="113" t="s">
        <v>93</v>
      </c>
      <c r="C21" s="140">
        <v>443385.09</v>
      </c>
      <c r="D21" s="140">
        <v>391000</v>
      </c>
      <c r="E21" s="118">
        <v>45777</v>
      </c>
      <c r="F21" s="116" t="s">
        <v>103</v>
      </c>
      <c r="G21" s="118">
        <v>45729</v>
      </c>
      <c r="H21" s="116" t="s">
        <v>104</v>
      </c>
      <c r="I21" s="116" t="s">
        <v>53</v>
      </c>
      <c r="J21" s="126" t="s">
        <v>134</v>
      </c>
    </row>
    <row r="22" spans="1:10" s="141" customFormat="1" ht="15.75" x14ac:dyDescent="0.25">
      <c r="A22" s="112">
        <v>20</v>
      </c>
      <c r="B22" s="113" t="s">
        <v>156</v>
      </c>
      <c r="C22" s="140">
        <v>81449.97</v>
      </c>
      <c r="D22" s="140">
        <v>81449.97</v>
      </c>
      <c r="E22" s="118">
        <v>45841</v>
      </c>
      <c r="F22" s="116" t="s">
        <v>192</v>
      </c>
      <c r="G22" s="118">
        <v>45831</v>
      </c>
      <c r="H22" s="116" t="s">
        <v>133</v>
      </c>
      <c r="I22" s="116" t="s">
        <v>53</v>
      </c>
      <c r="J22" s="126" t="s">
        <v>134</v>
      </c>
    </row>
    <row r="23" spans="1:10" s="141" customFormat="1" ht="60" x14ac:dyDescent="0.25">
      <c r="A23" s="218">
        <v>21</v>
      </c>
      <c r="B23" s="222" t="s">
        <v>157</v>
      </c>
      <c r="C23" s="223">
        <v>297687.67</v>
      </c>
      <c r="D23" s="223">
        <v>260000</v>
      </c>
      <c r="E23" s="224">
        <v>45900</v>
      </c>
      <c r="F23" s="225" t="s">
        <v>184</v>
      </c>
      <c r="G23" s="224">
        <v>45860</v>
      </c>
      <c r="H23" s="225" t="s">
        <v>193</v>
      </c>
      <c r="I23" s="225" t="s">
        <v>53</v>
      </c>
      <c r="J23" s="226" t="s">
        <v>307</v>
      </c>
    </row>
    <row r="24" spans="1:10" s="221" customFormat="1" ht="30" x14ac:dyDescent="0.25">
      <c r="A24" s="112">
        <v>22</v>
      </c>
      <c r="B24" s="113" t="s">
        <v>322</v>
      </c>
      <c r="C24" s="140">
        <v>485785.29</v>
      </c>
      <c r="D24" s="140">
        <v>485785.29</v>
      </c>
      <c r="E24" s="118">
        <v>46011</v>
      </c>
      <c r="F24" s="116" t="s">
        <v>38</v>
      </c>
      <c r="G24" s="118"/>
      <c r="H24" s="116"/>
      <c r="I24" s="225" t="s">
        <v>53</v>
      </c>
      <c r="J24" s="126" t="s">
        <v>323</v>
      </c>
    </row>
    <row r="25" spans="1:10" s="49" customFormat="1" ht="18.75" x14ac:dyDescent="0.25">
      <c r="A25" s="86"/>
      <c r="B25" s="87"/>
      <c r="C25" s="227">
        <f>SUM(C3:C24)</f>
        <v>17557355.740000002</v>
      </c>
      <c r="D25" s="227">
        <f>SUM(D3:D24)</f>
        <v>16466666.280000001</v>
      </c>
      <c r="E25" s="85"/>
      <c r="G25" s="89"/>
      <c r="H25" s="89"/>
    </row>
    <row r="26" spans="1:10" s="49" customFormat="1" ht="18.75" x14ac:dyDescent="0.25">
      <c r="A26" s="86"/>
      <c r="B26" s="90" t="s">
        <v>92</v>
      </c>
      <c r="C26" s="196"/>
      <c r="D26" s="60">
        <v>16025200</v>
      </c>
      <c r="E26" s="85"/>
      <c r="G26" s="89"/>
      <c r="H26" s="89"/>
    </row>
    <row r="27" spans="1:10" ht="18.75" x14ac:dyDescent="0.25">
      <c r="B27" s="205" t="s">
        <v>283</v>
      </c>
      <c r="C27" s="197"/>
      <c r="D27" s="60">
        <v>0</v>
      </c>
    </row>
    <row r="28" spans="1:10" s="198" customFormat="1" ht="18.75" x14ac:dyDescent="0.25">
      <c r="B28" s="199"/>
      <c r="C28" s="195"/>
      <c r="D28" s="195"/>
      <c r="E28" s="200"/>
      <c r="G28" s="201"/>
      <c r="H28" s="201"/>
    </row>
    <row r="29" spans="1:10" s="198" customFormat="1" ht="15.75" x14ac:dyDescent="0.25">
      <c r="A29" s="202"/>
      <c r="B29" s="203" t="s">
        <v>69</v>
      </c>
      <c r="C29" s="203" t="s">
        <v>86</v>
      </c>
      <c r="D29" s="202"/>
      <c r="E29" s="202"/>
      <c r="F29" s="202"/>
      <c r="G29" s="202"/>
      <c r="H29" s="204"/>
    </row>
    <row r="30" spans="1:10" s="198" customFormat="1" x14ac:dyDescent="0.25">
      <c r="A30" s="202"/>
      <c r="B30" s="202"/>
      <c r="C30" s="202"/>
      <c r="D30" s="202"/>
      <c r="E30" s="202"/>
      <c r="F30" s="202"/>
      <c r="G30" s="202"/>
      <c r="H30" s="204"/>
    </row>
    <row r="31" spans="1:10" s="198" customFormat="1" x14ac:dyDescent="0.25">
      <c r="A31" s="202"/>
      <c r="B31" s="202" t="s">
        <v>286</v>
      </c>
      <c r="C31" s="202"/>
      <c r="D31" s="202"/>
      <c r="E31" s="202"/>
      <c r="F31" s="202"/>
      <c r="G31" s="202"/>
      <c r="H31" s="204"/>
    </row>
    <row r="32" spans="1:10" s="198" customFormat="1" x14ac:dyDescent="0.25">
      <c r="A32" s="202"/>
      <c r="B32" s="202" t="s">
        <v>285</v>
      </c>
      <c r="C32" s="202"/>
      <c r="D32" s="202"/>
      <c r="E32" s="202"/>
      <c r="F32" s="202"/>
      <c r="G32" s="202"/>
      <c r="H32" s="204"/>
    </row>
    <row r="33" spans="1:8" s="198" customFormat="1" x14ac:dyDescent="0.25">
      <c r="A33" s="202"/>
      <c r="B33" s="202" t="s">
        <v>4</v>
      </c>
      <c r="C33" s="202"/>
      <c r="D33" s="202"/>
      <c r="E33" s="202"/>
      <c r="F33" s="202"/>
      <c r="G33" s="202"/>
      <c r="H33" s="204"/>
    </row>
  </sheetData>
  <mergeCells count="1">
    <mergeCell ref="A1:J1"/>
  </mergeCells>
  <pageMargins left="0.70866141732283472" right="0.39370078740157483" top="0.70866141732283472" bottom="0.35433070866141736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734-6503-4063-A94A-48A49FA5A490}">
  <sheetPr>
    <pageSetUpPr fitToPage="1"/>
  </sheetPr>
  <dimension ref="A1:J31"/>
  <sheetViews>
    <sheetView topLeftCell="A7" workbookViewId="0">
      <selection activeCell="B10" sqref="B10"/>
    </sheetView>
  </sheetViews>
  <sheetFormatPr defaultRowHeight="15" x14ac:dyDescent="0.25"/>
  <cols>
    <col min="1" max="1" width="7.42578125" style="20" customWidth="1"/>
    <col min="2" max="2" width="76.85546875" customWidth="1"/>
    <col min="3" max="3" width="18.28515625" customWidth="1"/>
    <col min="4" max="4" width="28.28515625" customWidth="1"/>
    <col min="5" max="5" width="17.85546875" customWidth="1"/>
    <col min="6" max="6" width="26.140625" customWidth="1"/>
    <col min="7" max="7" width="13.140625" customWidth="1"/>
    <col min="8" max="8" width="15.5703125" customWidth="1"/>
    <col min="9" max="9" width="13.140625" customWidth="1"/>
    <col min="10" max="10" width="21.42578125" customWidth="1"/>
  </cols>
  <sheetData>
    <row r="1" spans="1:10" s="68" customFormat="1" ht="34.5" customHeight="1" x14ac:dyDescent="0.3">
      <c r="A1" s="279" t="s">
        <v>303</v>
      </c>
      <c r="B1" s="280"/>
      <c r="C1" s="280"/>
      <c r="D1" s="281"/>
      <c r="E1" s="281"/>
      <c r="F1" s="281"/>
      <c r="G1" s="281"/>
      <c r="H1" s="281"/>
      <c r="I1" s="281"/>
      <c r="J1" s="282"/>
    </row>
    <row r="2" spans="1:10" s="68" customFormat="1" ht="15" customHeight="1" x14ac:dyDescent="0.25">
      <c r="A2" s="286" t="s">
        <v>1</v>
      </c>
      <c r="B2" s="286" t="s">
        <v>0</v>
      </c>
      <c r="C2" s="287" t="s">
        <v>9</v>
      </c>
      <c r="D2" s="286" t="s">
        <v>34</v>
      </c>
      <c r="E2" s="286" t="s">
        <v>21</v>
      </c>
      <c r="F2" s="286" t="s">
        <v>16</v>
      </c>
      <c r="G2" s="286" t="s">
        <v>35</v>
      </c>
      <c r="H2" s="286" t="s">
        <v>18</v>
      </c>
      <c r="I2" s="288" t="s">
        <v>203</v>
      </c>
      <c r="J2" s="286" t="s">
        <v>67</v>
      </c>
    </row>
    <row r="3" spans="1:10" s="68" customFormat="1" ht="30" customHeight="1" x14ac:dyDescent="0.25">
      <c r="A3" s="286"/>
      <c r="B3" s="286"/>
      <c r="C3" s="287"/>
      <c r="D3" s="286"/>
      <c r="E3" s="286"/>
      <c r="F3" s="286"/>
      <c r="G3" s="286"/>
      <c r="H3" s="286"/>
      <c r="I3" s="289"/>
      <c r="J3" s="286"/>
    </row>
    <row r="4" spans="1:10" s="148" customFormat="1" ht="47.25" x14ac:dyDescent="0.25">
      <c r="A4" s="112">
        <v>1</v>
      </c>
      <c r="B4" s="142" t="s">
        <v>41</v>
      </c>
      <c r="C4" s="114">
        <v>3279010.95</v>
      </c>
      <c r="D4" s="143" t="s">
        <v>12</v>
      </c>
      <c r="E4" s="167"/>
      <c r="F4" s="112" t="s">
        <v>107</v>
      </c>
      <c r="G4" s="177"/>
      <c r="H4" s="167"/>
      <c r="I4" s="147">
        <v>45852</v>
      </c>
      <c r="J4" s="283" t="s">
        <v>261</v>
      </c>
    </row>
    <row r="5" spans="1:10" s="154" customFormat="1" ht="47.25" x14ac:dyDescent="0.25">
      <c r="A5" s="112">
        <v>2</v>
      </c>
      <c r="B5" s="142" t="s">
        <v>43</v>
      </c>
      <c r="C5" s="114">
        <v>1653055.91</v>
      </c>
      <c r="D5" s="113" t="s">
        <v>75</v>
      </c>
      <c r="E5" s="178">
        <v>11599000</v>
      </c>
      <c r="F5" s="112" t="s">
        <v>107</v>
      </c>
      <c r="G5" s="179">
        <v>45765</v>
      </c>
      <c r="H5" s="171" t="s">
        <v>108</v>
      </c>
      <c r="I5" s="147">
        <v>45852</v>
      </c>
      <c r="J5" s="284"/>
    </row>
    <row r="6" spans="1:10" s="154" customFormat="1" ht="74.25" customHeight="1" x14ac:dyDescent="0.25">
      <c r="A6" s="112">
        <v>3</v>
      </c>
      <c r="B6" s="142" t="s">
        <v>71</v>
      </c>
      <c r="C6" s="114">
        <v>6674431.2000000002</v>
      </c>
      <c r="D6" s="143" t="s">
        <v>14</v>
      </c>
      <c r="E6" s="175"/>
      <c r="F6" s="112" t="s">
        <v>107</v>
      </c>
      <c r="G6" s="180"/>
      <c r="H6" s="175"/>
      <c r="I6" s="147">
        <v>45856</v>
      </c>
      <c r="J6" s="285"/>
    </row>
    <row r="7" spans="1:10" s="148" customFormat="1" ht="15.75" x14ac:dyDescent="0.25">
      <c r="A7" s="112">
        <v>4</v>
      </c>
      <c r="B7" s="142" t="s">
        <v>10</v>
      </c>
      <c r="C7" s="114">
        <v>2652294.65</v>
      </c>
      <c r="D7" s="143" t="s">
        <v>12</v>
      </c>
      <c r="E7" s="114">
        <v>2466000</v>
      </c>
      <c r="F7" s="144" t="s">
        <v>38</v>
      </c>
      <c r="G7" s="145">
        <v>45693</v>
      </c>
      <c r="H7" s="146" t="s">
        <v>100</v>
      </c>
      <c r="I7" s="147">
        <v>45777</v>
      </c>
      <c r="J7" s="144" t="s">
        <v>118</v>
      </c>
    </row>
    <row r="8" spans="1:10" s="148" customFormat="1" ht="15.75" x14ac:dyDescent="0.25">
      <c r="A8" s="112">
        <v>5</v>
      </c>
      <c r="B8" s="142" t="s">
        <v>42</v>
      </c>
      <c r="C8" s="149">
        <v>2310572.37</v>
      </c>
      <c r="D8" s="143" t="s">
        <v>63</v>
      </c>
      <c r="E8" s="150">
        <v>2310572.37</v>
      </c>
      <c r="F8" s="144" t="s">
        <v>38</v>
      </c>
      <c r="G8" s="151">
        <v>45621</v>
      </c>
      <c r="H8" s="146" t="s">
        <v>49</v>
      </c>
      <c r="I8" s="147">
        <v>45809</v>
      </c>
      <c r="J8" s="144" t="s">
        <v>131</v>
      </c>
    </row>
    <row r="9" spans="1:10" s="154" customFormat="1" ht="31.5" x14ac:dyDescent="0.25">
      <c r="A9" s="112">
        <v>6</v>
      </c>
      <c r="B9" s="142" t="s">
        <v>11</v>
      </c>
      <c r="C9" s="114">
        <v>959716.78</v>
      </c>
      <c r="D9" s="143" t="s">
        <v>13</v>
      </c>
      <c r="E9" s="146">
        <v>791282.76</v>
      </c>
      <c r="F9" s="152" t="s">
        <v>38</v>
      </c>
      <c r="G9" s="153">
        <v>45602</v>
      </c>
      <c r="H9" s="146" t="s">
        <v>47</v>
      </c>
      <c r="I9" s="147">
        <v>45777</v>
      </c>
      <c r="J9" s="144" t="s">
        <v>112</v>
      </c>
    </row>
    <row r="10" spans="1:10" s="148" customFormat="1" ht="31.5" x14ac:dyDescent="0.25">
      <c r="A10" s="112">
        <v>7</v>
      </c>
      <c r="B10" s="142" t="s">
        <v>15</v>
      </c>
      <c r="C10" s="114">
        <v>475718.38</v>
      </c>
      <c r="D10" s="143" t="s">
        <v>14</v>
      </c>
      <c r="E10" s="114">
        <v>451932.46</v>
      </c>
      <c r="F10" s="112" t="s">
        <v>109</v>
      </c>
      <c r="G10" s="155">
        <v>45762</v>
      </c>
      <c r="H10" s="146" t="s">
        <v>110</v>
      </c>
      <c r="I10" s="147">
        <v>45838</v>
      </c>
      <c r="J10" s="144" t="s">
        <v>132</v>
      </c>
    </row>
    <row r="11" spans="1:10" s="154" customFormat="1" ht="63" x14ac:dyDescent="0.25">
      <c r="A11" s="112">
        <v>8</v>
      </c>
      <c r="B11" s="142" t="s">
        <v>88</v>
      </c>
      <c r="C11" s="146">
        <v>4285192.24</v>
      </c>
      <c r="D11" s="113" t="s">
        <v>158</v>
      </c>
      <c r="E11" s="146">
        <v>4196937.5599999996</v>
      </c>
      <c r="F11" s="112" t="s">
        <v>106</v>
      </c>
      <c r="G11" s="155">
        <v>45768</v>
      </c>
      <c r="H11" s="146" t="s">
        <v>111</v>
      </c>
      <c r="I11" s="147">
        <v>45859</v>
      </c>
      <c r="J11" s="123" t="s">
        <v>209</v>
      </c>
    </row>
    <row r="12" spans="1:10" s="154" customFormat="1" ht="15.75" x14ac:dyDescent="0.25">
      <c r="A12" s="112">
        <v>9</v>
      </c>
      <c r="B12" s="142" t="s">
        <v>72</v>
      </c>
      <c r="C12" s="114">
        <v>1050258.1200000001</v>
      </c>
      <c r="D12" s="143" t="s">
        <v>14</v>
      </c>
      <c r="E12" s="156">
        <v>925080</v>
      </c>
      <c r="F12" s="112" t="s">
        <v>119</v>
      </c>
      <c r="G12" s="153">
        <v>45772</v>
      </c>
      <c r="H12" s="146" t="s">
        <v>127</v>
      </c>
      <c r="I12" s="147">
        <v>45811</v>
      </c>
      <c r="J12" s="123" t="s">
        <v>134</v>
      </c>
    </row>
    <row r="13" spans="1:10" s="154" customFormat="1" ht="31.5" x14ac:dyDescent="0.25">
      <c r="A13" s="112">
        <v>10</v>
      </c>
      <c r="B13" s="142" t="s">
        <v>78</v>
      </c>
      <c r="C13" s="114">
        <v>3775187.34</v>
      </c>
      <c r="D13" s="143" t="s">
        <v>79</v>
      </c>
      <c r="E13" s="156">
        <v>3208000</v>
      </c>
      <c r="F13" s="144" t="s">
        <v>38</v>
      </c>
      <c r="G13" s="153">
        <v>45789</v>
      </c>
      <c r="H13" s="146" t="s">
        <v>128</v>
      </c>
      <c r="I13" s="147">
        <v>45829</v>
      </c>
      <c r="J13" s="112" t="s">
        <v>182</v>
      </c>
    </row>
    <row r="14" spans="1:10" s="154" customFormat="1" ht="15.75" x14ac:dyDescent="0.25">
      <c r="A14" s="112">
        <v>11</v>
      </c>
      <c r="B14" s="142" t="s">
        <v>81</v>
      </c>
      <c r="C14" s="146">
        <v>1918020.17</v>
      </c>
      <c r="D14" s="143" t="s">
        <v>76</v>
      </c>
      <c r="E14" s="156">
        <v>1572000</v>
      </c>
      <c r="F14" s="144" t="s">
        <v>38</v>
      </c>
      <c r="G14" s="153">
        <v>45784</v>
      </c>
      <c r="H14" s="146" t="s">
        <v>129</v>
      </c>
      <c r="I14" s="147">
        <v>45824</v>
      </c>
      <c r="J14" s="112" t="s">
        <v>134</v>
      </c>
    </row>
    <row r="15" spans="1:10" s="154" customFormat="1" ht="15.75" x14ac:dyDescent="0.25">
      <c r="A15" s="112">
        <v>12</v>
      </c>
      <c r="B15" s="142" t="s">
        <v>82</v>
      </c>
      <c r="C15" s="114">
        <v>834538.06</v>
      </c>
      <c r="D15" s="143" t="s">
        <v>77</v>
      </c>
      <c r="E15" s="164"/>
      <c r="F15" s="165"/>
      <c r="G15" s="166"/>
      <c r="H15" s="167"/>
      <c r="I15" s="168"/>
      <c r="J15" s="112" t="s">
        <v>260</v>
      </c>
    </row>
    <row r="16" spans="1:10" s="154" customFormat="1" ht="15.75" x14ac:dyDescent="0.25">
      <c r="A16" s="112">
        <v>13</v>
      </c>
      <c r="B16" s="142" t="s">
        <v>83</v>
      </c>
      <c r="C16" s="150">
        <v>1147559.17</v>
      </c>
      <c r="D16" s="143" t="s">
        <v>80</v>
      </c>
      <c r="E16" s="169">
        <v>1829000</v>
      </c>
      <c r="F16" s="158" t="s">
        <v>38</v>
      </c>
      <c r="G16" s="170">
        <v>45782</v>
      </c>
      <c r="H16" s="171" t="s">
        <v>130</v>
      </c>
      <c r="I16" s="172">
        <v>45874</v>
      </c>
      <c r="J16" s="112" t="s">
        <v>260</v>
      </c>
    </row>
    <row r="17" spans="1:10" s="154" customFormat="1" ht="15.75" x14ac:dyDescent="0.25">
      <c r="A17" s="112">
        <v>14</v>
      </c>
      <c r="B17" s="142" t="s">
        <v>84</v>
      </c>
      <c r="C17" s="114">
        <v>51361.21</v>
      </c>
      <c r="D17" s="143" t="s">
        <v>70</v>
      </c>
      <c r="E17" s="173"/>
      <c r="F17" s="174"/>
      <c r="G17" s="159"/>
      <c r="H17" s="175"/>
      <c r="I17" s="176"/>
      <c r="J17" s="112" t="s">
        <v>260</v>
      </c>
    </row>
    <row r="18" spans="1:10" s="154" customFormat="1" ht="15.75" x14ac:dyDescent="0.25">
      <c r="A18" s="112">
        <v>15</v>
      </c>
      <c r="B18" s="142" t="s">
        <v>195</v>
      </c>
      <c r="C18" s="114">
        <v>1055365.58</v>
      </c>
      <c r="D18" s="143" t="s">
        <v>73</v>
      </c>
      <c r="E18" s="157">
        <v>949000</v>
      </c>
      <c r="F18" s="158" t="s">
        <v>38</v>
      </c>
      <c r="G18" s="159">
        <v>45839</v>
      </c>
      <c r="H18" s="150" t="s">
        <v>137</v>
      </c>
      <c r="I18" s="147">
        <v>45889</v>
      </c>
      <c r="J18" s="112" t="s">
        <v>211</v>
      </c>
    </row>
    <row r="19" spans="1:10" s="154" customFormat="1" ht="47.25" x14ac:dyDescent="0.25">
      <c r="A19" s="112">
        <v>16</v>
      </c>
      <c r="B19" s="142" t="s">
        <v>196</v>
      </c>
      <c r="C19" s="114">
        <v>1508746.35</v>
      </c>
      <c r="D19" s="143" t="s">
        <v>73</v>
      </c>
      <c r="E19" s="157">
        <v>1350000</v>
      </c>
      <c r="F19" s="112" t="s">
        <v>199</v>
      </c>
      <c r="G19" s="159">
        <v>45842</v>
      </c>
      <c r="H19" s="150" t="s">
        <v>138</v>
      </c>
      <c r="I19" s="147">
        <v>45902</v>
      </c>
      <c r="J19" s="112" t="s">
        <v>134</v>
      </c>
    </row>
    <row r="20" spans="1:10" s="154" customFormat="1" ht="47.25" x14ac:dyDescent="0.25">
      <c r="A20" s="112">
        <v>17</v>
      </c>
      <c r="B20" s="142" t="s">
        <v>136</v>
      </c>
      <c r="C20" s="114">
        <v>2039685.16</v>
      </c>
      <c r="D20" s="143" t="s">
        <v>73</v>
      </c>
      <c r="E20" s="157">
        <v>2030000</v>
      </c>
      <c r="F20" s="112" t="s">
        <v>199</v>
      </c>
      <c r="G20" s="159">
        <v>45853</v>
      </c>
      <c r="H20" s="150" t="s">
        <v>139</v>
      </c>
      <c r="I20" s="147">
        <v>45944</v>
      </c>
      <c r="J20" s="112" t="s">
        <v>261</v>
      </c>
    </row>
    <row r="21" spans="1:10" s="154" customFormat="1" ht="47.25" x14ac:dyDescent="0.25">
      <c r="A21" s="112">
        <v>18</v>
      </c>
      <c r="B21" s="142" t="s">
        <v>194</v>
      </c>
      <c r="C21" s="114">
        <v>2056514.98</v>
      </c>
      <c r="D21" s="143" t="s">
        <v>73</v>
      </c>
      <c r="E21" s="157">
        <v>1747000</v>
      </c>
      <c r="F21" s="112" t="s">
        <v>199</v>
      </c>
      <c r="G21" s="159">
        <v>45877</v>
      </c>
      <c r="H21" s="150" t="s">
        <v>201</v>
      </c>
      <c r="I21" s="215">
        <v>45961</v>
      </c>
      <c r="J21" s="112" t="s">
        <v>134</v>
      </c>
    </row>
    <row r="22" spans="1:10" s="92" customFormat="1" ht="18.75" x14ac:dyDescent="0.25">
      <c r="A22" s="188"/>
      <c r="B22" s="189"/>
      <c r="C22" s="88">
        <f>SUM(C4:C21)</f>
        <v>37727228.619999997</v>
      </c>
      <c r="E22" s="88">
        <f>SUM(E4:E21)</f>
        <v>35425805.150000006</v>
      </c>
      <c r="J22" s="190"/>
    </row>
    <row r="23" spans="1:10" s="46" customFormat="1" ht="18.75" x14ac:dyDescent="0.3">
      <c r="A23" s="48"/>
      <c r="B23" s="191" t="s">
        <v>92</v>
      </c>
      <c r="C23" s="42"/>
      <c r="E23" s="42">
        <v>36028800</v>
      </c>
    </row>
    <row r="24" spans="1:10" s="46" customFormat="1" ht="18.75" x14ac:dyDescent="0.3">
      <c r="A24" s="48"/>
      <c r="B24" s="206" t="s">
        <v>283</v>
      </c>
      <c r="C24" s="42"/>
      <c r="E24" s="207">
        <v>629190</v>
      </c>
    </row>
    <row r="25" spans="1:10" s="46" customFormat="1" ht="15.75" x14ac:dyDescent="0.25">
      <c r="A25" s="48"/>
      <c r="B25" s="206"/>
    </row>
    <row r="26" spans="1:10" s="46" customFormat="1" ht="15.75" x14ac:dyDescent="0.25">
      <c r="A26" s="192"/>
      <c r="B26" s="186" t="s">
        <v>2</v>
      </c>
      <c r="C26" s="186" t="s">
        <v>86</v>
      </c>
      <c r="D26" s="193"/>
      <c r="E26" s="193"/>
      <c r="F26" s="193"/>
      <c r="G26" s="193"/>
      <c r="H26" s="193"/>
      <c r="I26" s="193"/>
      <c r="J26" s="194"/>
    </row>
    <row r="27" spans="1:10" s="46" customFormat="1" x14ac:dyDescent="0.25">
      <c r="A27" s="192"/>
      <c r="B27" s="193"/>
      <c r="C27" s="193"/>
      <c r="D27" s="193"/>
      <c r="E27" s="193"/>
      <c r="F27" s="193"/>
      <c r="G27" s="193"/>
      <c r="H27" s="193"/>
      <c r="I27" s="193"/>
      <c r="J27" s="194"/>
    </row>
    <row r="28" spans="1:10" s="46" customFormat="1" x14ac:dyDescent="0.25">
      <c r="A28" s="192"/>
      <c r="B28" s="193" t="s">
        <v>286</v>
      </c>
      <c r="C28" s="193"/>
      <c r="D28" s="193"/>
      <c r="E28" s="193"/>
      <c r="F28" s="193"/>
      <c r="G28" s="193"/>
      <c r="H28" s="193"/>
      <c r="I28" s="193"/>
      <c r="J28" s="194"/>
    </row>
    <row r="29" spans="1:10" s="46" customFormat="1" x14ac:dyDescent="0.25">
      <c r="A29" s="192"/>
      <c r="B29" s="193" t="s">
        <v>287</v>
      </c>
      <c r="C29" s="193"/>
      <c r="D29" s="193"/>
      <c r="E29" s="193"/>
      <c r="F29" s="193"/>
      <c r="G29" s="193"/>
      <c r="H29" s="193"/>
      <c r="I29" s="193"/>
      <c r="J29" s="194"/>
    </row>
    <row r="30" spans="1:10" s="46" customFormat="1" x14ac:dyDescent="0.25">
      <c r="A30" s="192"/>
      <c r="B30" s="193" t="s">
        <v>4</v>
      </c>
      <c r="C30" s="193"/>
      <c r="D30" s="193"/>
      <c r="E30" s="193"/>
      <c r="F30" s="193"/>
      <c r="G30" s="193"/>
      <c r="H30" s="193"/>
      <c r="I30" s="193"/>
      <c r="J30" s="194"/>
    </row>
    <row r="31" spans="1:10" s="33" customFormat="1" x14ac:dyDescent="0.25">
      <c r="A31" s="36"/>
    </row>
  </sheetData>
  <mergeCells count="12">
    <mergeCell ref="A1:J1"/>
    <mergeCell ref="J4:J6"/>
    <mergeCell ref="G2:G3"/>
    <mergeCell ref="H2:H3"/>
    <mergeCell ref="J2:J3"/>
    <mergeCell ref="A2:A3"/>
    <mergeCell ref="B2:B3"/>
    <mergeCell ref="C2:C3"/>
    <mergeCell ref="D2:D3"/>
    <mergeCell ref="F2:F3"/>
    <mergeCell ref="E2:E3"/>
    <mergeCell ref="I2:I3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44D5-FAE3-413A-B388-4AA5FF2FCF8D}">
  <dimension ref="A1:I29"/>
  <sheetViews>
    <sheetView topLeftCell="A13" workbookViewId="0">
      <selection activeCell="F17" sqref="F17"/>
    </sheetView>
  </sheetViews>
  <sheetFormatPr defaultRowHeight="15" x14ac:dyDescent="0.25"/>
  <cols>
    <col min="2" max="2" width="32.28515625" customWidth="1"/>
    <col min="3" max="3" width="16.28515625" customWidth="1"/>
    <col min="4" max="5" width="13.42578125" customWidth="1"/>
    <col min="6" max="6" width="26.85546875" customWidth="1"/>
    <col min="7" max="7" width="45.28515625" customWidth="1"/>
    <col min="8" max="8" width="24.42578125" customWidth="1"/>
    <col min="9" max="9" width="19.42578125" customWidth="1"/>
  </cols>
  <sheetData>
    <row r="1" spans="1:9" s="49" customFormat="1" ht="32.25" customHeight="1" x14ac:dyDescent="0.25">
      <c r="A1" s="279" t="s">
        <v>297</v>
      </c>
      <c r="B1" s="280"/>
      <c r="C1" s="280"/>
      <c r="D1" s="290"/>
      <c r="E1" s="290"/>
      <c r="F1" s="290"/>
      <c r="G1" s="277"/>
      <c r="H1" s="277"/>
      <c r="I1" s="278"/>
    </row>
    <row r="2" spans="1:9" s="73" customFormat="1" ht="63" x14ac:dyDescent="0.25">
      <c r="A2" s="43" t="s">
        <v>1</v>
      </c>
      <c r="B2" s="43" t="s">
        <v>0</v>
      </c>
      <c r="C2" s="94" t="s">
        <v>20</v>
      </c>
      <c r="D2" s="94" t="s">
        <v>21</v>
      </c>
      <c r="E2" s="43" t="s">
        <v>203</v>
      </c>
      <c r="F2" s="65" t="s">
        <v>16</v>
      </c>
      <c r="G2" s="65" t="s">
        <v>282</v>
      </c>
      <c r="H2" s="65" t="s">
        <v>67</v>
      </c>
      <c r="I2" s="65" t="s">
        <v>36</v>
      </c>
    </row>
    <row r="3" spans="1:9" s="161" customFormat="1" ht="94.5" x14ac:dyDescent="0.25">
      <c r="A3" s="112">
        <v>1</v>
      </c>
      <c r="B3" s="113" t="s">
        <v>219</v>
      </c>
      <c r="C3" s="140">
        <v>80000</v>
      </c>
      <c r="D3" s="115">
        <v>75976.800000000003</v>
      </c>
      <c r="E3" s="147"/>
      <c r="F3" s="112" t="s">
        <v>107</v>
      </c>
      <c r="G3" s="160" t="s">
        <v>266</v>
      </c>
      <c r="H3" s="144" t="s">
        <v>217</v>
      </c>
      <c r="I3" s="112" t="s">
        <v>293</v>
      </c>
    </row>
    <row r="4" spans="1:9" s="148" customFormat="1" ht="47.25" x14ac:dyDescent="0.25">
      <c r="A4" s="112">
        <v>2</v>
      </c>
      <c r="B4" s="113" t="s">
        <v>218</v>
      </c>
      <c r="C4" s="140">
        <v>80000</v>
      </c>
      <c r="D4" s="115">
        <v>75976.800000000003</v>
      </c>
      <c r="E4" s="147"/>
      <c r="F4" s="112" t="s">
        <v>107</v>
      </c>
      <c r="G4" s="144" t="s">
        <v>267</v>
      </c>
      <c r="H4" s="144" t="s">
        <v>217</v>
      </c>
      <c r="I4" s="112" t="s">
        <v>293</v>
      </c>
    </row>
    <row r="5" spans="1:9" s="148" customFormat="1" ht="47.25" x14ac:dyDescent="0.25">
      <c r="A5" s="112">
        <v>3</v>
      </c>
      <c r="B5" s="113" t="s">
        <v>265</v>
      </c>
      <c r="C5" s="140">
        <v>80000</v>
      </c>
      <c r="D5" s="115">
        <v>75976.800000000003</v>
      </c>
      <c r="E5" s="144"/>
      <c r="F5" s="112" t="s">
        <v>107</v>
      </c>
      <c r="G5" s="144" t="s">
        <v>268</v>
      </c>
      <c r="H5" s="144" t="s">
        <v>217</v>
      </c>
      <c r="I5" s="112" t="s">
        <v>293</v>
      </c>
    </row>
    <row r="6" spans="1:9" s="148" customFormat="1" ht="47.25" x14ac:dyDescent="0.25">
      <c r="A6" s="112">
        <v>4</v>
      </c>
      <c r="B6" s="162" t="s">
        <v>220</v>
      </c>
      <c r="C6" s="140">
        <v>80000</v>
      </c>
      <c r="D6" s="115">
        <v>75976.800000000003</v>
      </c>
      <c r="E6" s="144"/>
      <c r="F6" s="112" t="s">
        <v>107</v>
      </c>
      <c r="G6" s="144" t="s">
        <v>269</v>
      </c>
      <c r="H6" s="144" t="s">
        <v>257</v>
      </c>
      <c r="I6" s="112" t="s">
        <v>293</v>
      </c>
    </row>
    <row r="7" spans="1:9" s="148" customFormat="1" ht="47.25" x14ac:dyDescent="0.25">
      <c r="A7" s="112">
        <v>5</v>
      </c>
      <c r="B7" s="162" t="s">
        <v>221</v>
      </c>
      <c r="C7" s="140">
        <v>80000</v>
      </c>
      <c r="D7" s="115">
        <v>75976.800000000003</v>
      </c>
      <c r="E7" s="144"/>
      <c r="F7" s="112" t="s">
        <v>107</v>
      </c>
      <c r="G7" s="160" t="s">
        <v>270</v>
      </c>
      <c r="H7" s="144" t="s">
        <v>257</v>
      </c>
      <c r="I7" s="112" t="s">
        <v>293</v>
      </c>
    </row>
    <row r="8" spans="1:9" s="148" customFormat="1" ht="47.25" x14ac:dyDescent="0.25">
      <c r="A8" s="112">
        <v>6</v>
      </c>
      <c r="B8" s="162" t="s">
        <v>222</v>
      </c>
      <c r="C8" s="140">
        <v>80000</v>
      </c>
      <c r="D8" s="115">
        <v>75976.800000000003</v>
      </c>
      <c r="E8" s="144"/>
      <c r="F8" s="112" t="s">
        <v>107</v>
      </c>
      <c r="G8" s="144" t="s">
        <v>271</v>
      </c>
      <c r="H8" s="144" t="s">
        <v>257</v>
      </c>
      <c r="I8" s="112" t="s">
        <v>293</v>
      </c>
    </row>
    <row r="9" spans="1:9" s="148" customFormat="1" ht="47.25" x14ac:dyDescent="0.25">
      <c r="A9" s="112">
        <v>7</v>
      </c>
      <c r="B9" s="162" t="s">
        <v>259</v>
      </c>
      <c r="C9" s="140">
        <v>80000</v>
      </c>
      <c r="D9" s="115">
        <v>75976.800000000003</v>
      </c>
      <c r="E9" s="144"/>
      <c r="F9" s="112" t="s">
        <v>107</v>
      </c>
      <c r="G9" s="144" t="s">
        <v>272</v>
      </c>
      <c r="H9" s="144" t="s">
        <v>258</v>
      </c>
      <c r="I9" s="112" t="s">
        <v>293</v>
      </c>
    </row>
    <row r="10" spans="1:9" s="148" customFormat="1" ht="47.25" x14ac:dyDescent="0.25">
      <c r="A10" s="112">
        <v>8</v>
      </c>
      <c r="B10" s="162" t="s">
        <v>223</v>
      </c>
      <c r="C10" s="140">
        <v>80000</v>
      </c>
      <c r="D10" s="115">
        <v>75976.800000000003</v>
      </c>
      <c r="E10" s="144"/>
      <c r="F10" s="112" t="s">
        <v>107</v>
      </c>
      <c r="G10" s="144" t="s">
        <v>273</v>
      </c>
      <c r="H10" s="144" t="s">
        <v>258</v>
      </c>
      <c r="I10" s="112" t="s">
        <v>293</v>
      </c>
    </row>
    <row r="11" spans="1:9" s="148" customFormat="1" ht="47.25" x14ac:dyDescent="0.25">
      <c r="A11" s="112">
        <v>9</v>
      </c>
      <c r="B11" s="162" t="s">
        <v>224</v>
      </c>
      <c r="C11" s="140">
        <v>80000</v>
      </c>
      <c r="D11" s="115">
        <v>75976.800000000003</v>
      </c>
      <c r="E11" s="144"/>
      <c r="F11" s="112" t="s">
        <v>107</v>
      </c>
      <c r="G11" s="144" t="s">
        <v>274</v>
      </c>
      <c r="H11" s="144" t="s">
        <v>257</v>
      </c>
      <c r="I11" s="112" t="s">
        <v>293</v>
      </c>
    </row>
    <row r="12" spans="1:9" s="148" customFormat="1" ht="47.25" x14ac:dyDescent="0.25">
      <c r="A12" s="112">
        <v>10</v>
      </c>
      <c r="B12" s="162" t="s">
        <v>225</v>
      </c>
      <c r="C12" s="140">
        <v>80000</v>
      </c>
      <c r="D12" s="115">
        <v>75976.800000000003</v>
      </c>
      <c r="E12" s="144"/>
      <c r="F12" s="112" t="s">
        <v>107</v>
      </c>
      <c r="G12" s="144" t="s">
        <v>274</v>
      </c>
      <c r="H12" s="144" t="s">
        <v>257</v>
      </c>
      <c r="I12" s="112" t="s">
        <v>293</v>
      </c>
    </row>
    <row r="13" spans="1:9" s="161" customFormat="1" ht="63" x14ac:dyDescent="0.25">
      <c r="A13" s="112">
        <v>11</v>
      </c>
      <c r="B13" s="162" t="s">
        <v>235</v>
      </c>
      <c r="C13" s="140">
        <v>80000</v>
      </c>
      <c r="D13" s="140">
        <v>85138.8</v>
      </c>
      <c r="E13" s="147">
        <v>45854</v>
      </c>
      <c r="F13" s="144" t="s">
        <v>239</v>
      </c>
      <c r="G13" s="144" t="s">
        <v>275</v>
      </c>
      <c r="H13" s="144" t="s">
        <v>217</v>
      </c>
      <c r="I13" s="112" t="s">
        <v>293</v>
      </c>
    </row>
    <row r="14" spans="1:9" s="161" customFormat="1" ht="47.25" x14ac:dyDescent="0.25">
      <c r="A14" s="112">
        <v>12</v>
      </c>
      <c r="B14" s="162" t="s">
        <v>83</v>
      </c>
      <c r="C14" s="140">
        <v>80000</v>
      </c>
      <c r="D14" s="140">
        <v>85138.8</v>
      </c>
      <c r="E14" s="147">
        <v>45854</v>
      </c>
      <c r="F14" s="144" t="s">
        <v>239</v>
      </c>
      <c r="G14" s="144" t="s">
        <v>276</v>
      </c>
      <c r="H14" s="144" t="s">
        <v>217</v>
      </c>
      <c r="I14" s="112" t="s">
        <v>293</v>
      </c>
    </row>
    <row r="15" spans="1:9" s="161" customFormat="1" ht="47.25" x14ac:dyDescent="0.25">
      <c r="A15" s="112">
        <v>13</v>
      </c>
      <c r="B15" s="162" t="s">
        <v>236</v>
      </c>
      <c r="C15" s="140">
        <v>80000</v>
      </c>
      <c r="D15" s="140">
        <v>85138.8</v>
      </c>
      <c r="E15" s="147">
        <v>45854</v>
      </c>
      <c r="F15" s="144" t="s">
        <v>239</v>
      </c>
      <c r="G15" s="144" t="s">
        <v>277</v>
      </c>
      <c r="H15" s="144" t="s">
        <v>217</v>
      </c>
      <c r="I15" s="112" t="s">
        <v>293</v>
      </c>
    </row>
    <row r="16" spans="1:9" s="161" customFormat="1" ht="47.25" x14ac:dyDescent="0.25">
      <c r="A16" s="112">
        <v>14</v>
      </c>
      <c r="B16" s="162" t="s">
        <v>237</v>
      </c>
      <c r="C16" s="140">
        <v>80000</v>
      </c>
      <c r="D16" s="140">
        <v>85138.8</v>
      </c>
      <c r="E16" s="147">
        <v>45854</v>
      </c>
      <c r="F16" s="144" t="s">
        <v>239</v>
      </c>
      <c r="G16" s="144" t="s">
        <v>278</v>
      </c>
      <c r="H16" s="144" t="s">
        <v>217</v>
      </c>
      <c r="I16" s="112" t="s">
        <v>293</v>
      </c>
    </row>
    <row r="17" spans="1:9" s="161" customFormat="1" ht="63" x14ac:dyDescent="0.25">
      <c r="A17" s="112">
        <v>15</v>
      </c>
      <c r="B17" s="162" t="s">
        <v>238</v>
      </c>
      <c r="C17" s="140">
        <v>80000</v>
      </c>
      <c r="D17" s="140">
        <v>85138.8</v>
      </c>
      <c r="E17" s="147">
        <v>45854</v>
      </c>
      <c r="F17" s="144" t="s">
        <v>239</v>
      </c>
      <c r="G17" s="144" t="s">
        <v>279</v>
      </c>
      <c r="H17" s="144" t="s">
        <v>217</v>
      </c>
      <c r="I17" s="112" t="s">
        <v>294</v>
      </c>
    </row>
    <row r="18" spans="1:9" s="161" customFormat="1" ht="78.75" x14ac:dyDescent="0.25">
      <c r="A18" s="112">
        <v>16</v>
      </c>
      <c r="B18" s="162" t="s">
        <v>240</v>
      </c>
      <c r="C18" s="140">
        <v>80000</v>
      </c>
      <c r="D18" s="140">
        <v>38516.400000000001</v>
      </c>
      <c r="E18" s="147">
        <v>45854</v>
      </c>
      <c r="F18" s="144" t="s">
        <v>239</v>
      </c>
      <c r="G18" s="144" t="s">
        <v>280</v>
      </c>
      <c r="H18" s="144" t="s">
        <v>217</v>
      </c>
      <c r="I18" s="112" t="s">
        <v>295</v>
      </c>
    </row>
    <row r="19" spans="1:9" s="161" customFormat="1" ht="63" x14ac:dyDescent="0.25">
      <c r="A19" s="112">
        <v>17</v>
      </c>
      <c r="B19" s="162" t="s">
        <v>241</v>
      </c>
      <c r="C19" s="140">
        <v>80000</v>
      </c>
      <c r="D19" s="140">
        <v>85138.8</v>
      </c>
      <c r="E19" s="147">
        <v>45854</v>
      </c>
      <c r="F19" s="144" t="s">
        <v>239</v>
      </c>
      <c r="G19" s="144" t="s">
        <v>281</v>
      </c>
      <c r="H19" s="144" t="s">
        <v>217</v>
      </c>
      <c r="I19" s="112" t="s">
        <v>293</v>
      </c>
    </row>
    <row r="20" spans="1:9" s="68" customFormat="1" ht="15.75" x14ac:dyDescent="0.25">
      <c r="A20" s="86"/>
      <c r="B20" s="87"/>
      <c r="C20" s="95">
        <f>SUM(C3:C19)</f>
        <v>1360000</v>
      </c>
      <c r="D20" s="95">
        <f>SUM(D3:D19)</f>
        <v>1309117.2000000002</v>
      </c>
      <c r="E20" s="73"/>
      <c r="G20" s="96"/>
    </row>
    <row r="21" spans="1:9" s="68" customFormat="1" ht="15.75" x14ac:dyDescent="0.25">
      <c r="A21" s="86"/>
      <c r="B21" s="91" t="s">
        <v>92</v>
      </c>
      <c r="C21" s="77"/>
      <c r="D21" s="77">
        <v>1384516.86</v>
      </c>
      <c r="E21" s="73"/>
      <c r="G21" s="96"/>
    </row>
    <row r="22" spans="1:9" s="68" customFormat="1" ht="15.75" x14ac:dyDescent="0.25">
      <c r="A22" s="86"/>
      <c r="B22" s="91" t="s">
        <v>283</v>
      </c>
      <c r="C22" s="187"/>
      <c r="D22" s="45">
        <v>75399.66</v>
      </c>
      <c r="E22" s="73"/>
      <c r="G22" s="96"/>
    </row>
    <row r="23" spans="1:9" s="68" customFormat="1" ht="15.75" x14ac:dyDescent="0.25">
      <c r="B23" s="97"/>
      <c r="C23" s="98"/>
      <c r="D23" s="98"/>
      <c r="E23" s="73"/>
      <c r="G23" s="96"/>
    </row>
    <row r="24" spans="1:9" s="68" customFormat="1" ht="15.75" x14ac:dyDescent="0.25">
      <c r="B24" s="97"/>
      <c r="C24" s="98"/>
      <c r="D24" s="98"/>
      <c r="E24" s="73"/>
      <c r="G24" s="96"/>
    </row>
    <row r="25" spans="1:9" s="68" customFormat="1" ht="31.5" x14ac:dyDescent="0.25">
      <c r="A25" s="93"/>
      <c r="B25" s="93" t="s">
        <v>69</v>
      </c>
      <c r="C25" s="93" t="s">
        <v>86</v>
      </c>
      <c r="D25" s="93"/>
      <c r="E25" s="93"/>
      <c r="F25" s="93"/>
    </row>
    <row r="26" spans="1:9" s="68" customFormat="1" ht="15.75" x14ac:dyDescent="0.25">
      <c r="A26" s="93"/>
      <c r="B26" s="93"/>
      <c r="C26" s="93"/>
      <c r="D26" s="93"/>
      <c r="E26" s="93"/>
      <c r="F26" s="93"/>
    </row>
    <row r="27" spans="1:9" s="68" customFormat="1" ht="15.75" x14ac:dyDescent="0.25">
      <c r="A27" s="93"/>
      <c r="B27" s="93" t="s">
        <v>286</v>
      </c>
      <c r="C27" s="93"/>
      <c r="D27" s="93"/>
      <c r="E27" s="93"/>
      <c r="F27" s="93"/>
    </row>
    <row r="28" spans="1:9" s="68" customFormat="1" ht="15.75" x14ac:dyDescent="0.25">
      <c r="A28" s="93"/>
      <c r="B28" s="93" t="s">
        <v>285</v>
      </c>
      <c r="C28" s="93"/>
      <c r="D28" s="93"/>
      <c r="E28" s="93"/>
      <c r="F28" s="93"/>
    </row>
    <row r="29" spans="1:9" s="68" customFormat="1" ht="15.75" x14ac:dyDescent="0.25">
      <c r="A29" s="93"/>
      <c r="B29" s="93" t="s">
        <v>4</v>
      </c>
      <c r="C29" s="93"/>
      <c r="D29" s="93"/>
      <c r="E29" s="93"/>
      <c r="F29" s="93"/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C724-2D9E-4406-AA9A-CA13A34D61B5}">
  <dimension ref="A1:I20"/>
  <sheetViews>
    <sheetView topLeftCell="A7" workbookViewId="0">
      <selection activeCell="G7" sqref="G7"/>
    </sheetView>
  </sheetViews>
  <sheetFormatPr defaultRowHeight="15" x14ac:dyDescent="0.25"/>
  <cols>
    <col min="1" max="1" width="8.28515625" customWidth="1"/>
    <col min="2" max="2" width="31.5703125" customWidth="1"/>
    <col min="3" max="3" width="14.85546875" customWidth="1"/>
    <col min="4" max="4" width="13.28515625" customWidth="1"/>
    <col min="5" max="5" width="13.85546875" customWidth="1"/>
    <col min="6" max="6" width="21.7109375" customWidth="1"/>
    <col min="7" max="7" width="32.42578125" customWidth="1"/>
    <col min="8" max="8" width="14.28515625" customWidth="1"/>
    <col min="9" max="9" width="18.85546875" customWidth="1"/>
  </cols>
  <sheetData>
    <row r="1" spans="1:9" s="49" customFormat="1" ht="32.25" customHeight="1" x14ac:dyDescent="0.25">
      <c r="A1" s="291" t="s">
        <v>330</v>
      </c>
      <c r="B1" s="291"/>
      <c r="C1" s="291"/>
      <c r="D1" s="292"/>
      <c r="E1" s="292"/>
      <c r="F1" s="292"/>
      <c r="G1" s="293"/>
      <c r="H1" s="293"/>
      <c r="I1" s="293"/>
    </row>
    <row r="2" spans="1:9" s="73" customFormat="1" ht="63" x14ac:dyDescent="0.25">
      <c r="A2" s="209" t="s">
        <v>1</v>
      </c>
      <c r="B2" s="209" t="s">
        <v>0</v>
      </c>
      <c r="C2" s="210" t="s">
        <v>20</v>
      </c>
      <c r="D2" s="210" t="s">
        <v>21</v>
      </c>
      <c r="E2" s="209" t="s">
        <v>203</v>
      </c>
      <c r="F2" s="65" t="s">
        <v>16</v>
      </c>
      <c r="G2" s="229" t="s">
        <v>282</v>
      </c>
      <c r="H2" s="65" t="s">
        <v>67</v>
      </c>
      <c r="I2" s="65" t="s">
        <v>36</v>
      </c>
    </row>
    <row r="3" spans="1:9" s="108" customFormat="1" ht="173.25" x14ac:dyDescent="0.25">
      <c r="A3" s="100">
        <v>1</v>
      </c>
      <c r="B3" s="109" t="s">
        <v>194</v>
      </c>
      <c r="C3" s="102">
        <v>80000</v>
      </c>
      <c r="D3" s="107">
        <v>75976.800000000003</v>
      </c>
      <c r="E3" s="104"/>
      <c r="F3" s="100" t="s">
        <v>107</v>
      </c>
      <c r="G3" s="104"/>
      <c r="H3" s="104"/>
      <c r="I3" s="100" t="s">
        <v>334</v>
      </c>
    </row>
    <row r="4" spans="1:9" s="148" customFormat="1" ht="47.25" x14ac:dyDescent="0.25">
      <c r="A4" s="112">
        <v>2</v>
      </c>
      <c r="B4" s="162" t="s">
        <v>226</v>
      </c>
      <c r="C4" s="140">
        <v>160000</v>
      </c>
      <c r="D4" s="128">
        <v>151953.60000000001</v>
      </c>
      <c r="E4" s="144"/>
      <c r="F4" s="112" t="s">
        <v>107</v>
      </c>
      <c r="G4" s="144"/>
      <c r="H4" s="112" t="s">
        <v>217</v>
      </c>
      <c r="I4" s="228"/>
    </row>
    <row r="5" spans="1:9" s="148" customFormat="1" ht="47.25" x14ac:dyDescent="0.25">
      <c r="A5" s="112">
        <v>3</v>
      </c>
      <c r="B5" s="162" t="s">
        <v>19</v>
      </c>
      <c r="C5" s="140">
        <v>80000</v>
      </c>
      <c r="D5" s="115">
        <v>75976.800000000003</v>
      </c>
      <c r="E5" s="144"/>
      <c r="F5" s="112" t="s">
        <v>107</v>
      </c>
      <c r="G5" s="144"/>
      <c r="H5" s="112" t="s">
        <v>217</v>
      </c>
      <c r="I5" s="228"/>
    </row>
    <row r="6" spans="1:9" s="148" customFormat="1" ht="47.25" x14ac:dyDescent="0.25">
      <c r="A6" s="112">
        <v>4</v>
      </c>
      <c r="B6" s="162" t="s">
        <v>227</v>
      </c>
      <c r="C6" s="140">
        <v>80000</v>
      </c>
      <c r="D6" s="115">
        <v>75976.800000000003</v>
      </c>
      <c r="E6" s="144"/>
      <c r="F6" s="112" t="s">
        <v>107</v>
      </c>
      <c r="G6" s="144"/>
      <c r="H6" s="112" t="s">
        <v>217</v>
      </c>
      <c r="I6" s="228"/>
    </row>
    <row r="7" spans="1:9" s="148" customFormat="1" ht="48" thickBot="1" x14ac:dyDescent="0.3">
      <c r="A7" s="112">
        <v>5</v>
      </c>
      <c r="B7" s="162" t="s">
        <v>228</v>
      </c>
      <c r="C7" s="140">
        <v>160000</v>
      </c>
      <c r="D7" s="115">
        <v>118713.60000000001</v>
      </c>
      <c r="E7" s="144"/>
      <c r="F7" s="112" t="s">
        <v>107</v>
      </c>
      <c r="G7" s="238"/>
      <c r="H7" s="112" t="s">
        <v>217</v>
      </c>
      <c r="I7" s="112"/>
    </row>
    <row r="8" spans="1:9" s="161" customFormat="1" ht="47.25" x14ac:dyDescent="0.25">
      <c r="A8" s="112">
        <v>6</v>
      </c>
      <c r="B8" s="162" t="s">
        <v>284</v>
      </c>
      <c r="C8" s="140">
        <v>80000</v>
      </c>
      <c r="D8" s="115">
        <v>75976.800000000003</v>
      </c>
      <c r="E8" s="144"/>
      <c r="F8" s="112" t="s">
        <v>107</v>
      </c>
      <c r="G8" s="144"/>
      <c r="H8" s="112" t="s">
        <v>217</v>
      </c>
      <c r="I8" s="228"/>
    </row>
    <row r="9" spans="1:9" s="106" customFormat="1" ht="141.75" x14ac:dyDescent="0.25">
      <c r="A9" s="100">
        <v>7</v>
      </c>
      <c r="B9" s="109" t="s">
        <v>300</v>
      </c>
      <c r="C9" s="102">
        <v>80000</v>
      </c>
      <c r="D9" s="102">
        <v>29354.400000000001</v>
      </c>
      <c r="E9" s="104"/>
      <c r="F9" s="100" t="s">
        <v>107</v>
      </c>
      <c r="G9" s="104"/>
      <c r="H9" s="100"/>
      <c r="I9" s="100" t="s">
        <v>335</v>
      </c>
    </row>
    <row r="10" spans="1:9" s="68" customFormat="1" ht="15.75" x14ac:dyDescent="0.25">
      <c r="A10" s="86"/>
      <c r="B10" s="87"/>
      <c r="C10" s="95">
        <f>SUM(C3:C9)</f>
        <v>720000</v>
      </c>
      <c r="D10" s="95">
        <f>SUM(D3:D9)</f>
        <v>603928.80000000005</v>
      </c>
      <c r="E10" s="73"/>
      <c r="G10" s="96"/>
    </row>
    <row r="11" spans="1:9" s="68" customFormat="1" ht="15.75" x14ac:dyDescent="0.25">
      <c r="A11" s="86"/>
      <c r="B11" s="91" t="s">
        <v>92</v>
      </c>
      <c r="C11" s="77">
        <v>608000</v>
      </c>
      <c r="D11" s="77"/>
      <c r="E11" s="73"/>
      <c r="G11" s="96"/>
    </row>
    <row r="12" spans="1:9" s="68" customFormat="1" ht="15.75" x14ac:dyDescent="0.25">
      <c r="A12" s="86"/>
      <c r="B12" s="91" t="s">
        <v>283</v>
      </c>
      <c r="C12" s="187"/>
      <c r="D12" s="77">
        <v>4071.2</v>
      </c>
      <c r="E12" s="73"/>
      <c r="G12" s="96"/>
    </row>
    <row r="13" spans="1:9" s="68" customFormat="1" ht="15.75" x14ac:dyDescent="0.25">
      <c r="B13" s="97"/>
      <c r="C13" s="98"/>
      <c r="D13" s="98"/>
      <c r="E13" s="73"/>
      <c r="G13" s="96"/>
    </row>
    <row r="14" spans="1:9" s="68" customFormat="1" ht="15.75" x14ac:dyDescent="0.25">
      <c r="B14" s="97"/>
      <c r="C14" s="98"/>
      <c r="D14" s="98"/>
      <c r="E14" s="73"/>
      <c r="G14" s="96"/>
    </row>
    <row r="15" spans="1:9" s="68" customFormat="1" ht="47.25" x14ac:dyDescent="0.25">
      <c r="A15" s="93"/>
      <c r="B15" s="93" t="s">
        <v>69</v>
      </c>
      <c r="C15" s="93" t="s">
        <v>86</v>
      </c>
      <c r="D15" s="93"/>
      <c r="E15" s="93"/>
      <c r="F15" s="93"/>
    </row>
    <row r="16" spans="1:9" s="68" customFormat="1" ht="15.75" x14ac:dyDescent="0.25">
      <c r="A16" s="93"/>
      <c r="B16" s="93"/>
      <c r="C16" s="93"/>
      <c r="D16" s="93"/>
      <c r="E16" s="93"/>
      <c r="F16" s="93"/>
    </row>
    <row r="17" spans="1:6" s="68" customFormat="1" ht="15.75" x14ac:dyDescent="0.25">
      <c r="A17" s="93"/>
      <c r="B17" s="93" t="s">
        <v>286</v>
      </c>
      <c r="C17" s="93"/>
      <c r="D17" s="93"/>
      <c r="E17" s="93"/>
      <c r="F17" s="93"/>
    </row>
    <row r="18" spans="1:6" s="68" customFormat="1" ht="15.75" x14ac:dyDescent="0.25">
      <c r="A18" s="93"/>
      <c r="B18" s="93" t="s">
        <v>285</v>
      </c>
      <c r="C18" s="93"/>
      <c r="D18" s="93"/>
      <c r="E18" s="93"/>
      <c r="F18" s="93"/>
    </row>
    <row r="19" spans="1:6" s="68" customFormat="1" ht="15.75" x14ac:dyDescent="0.25">
      <c r="A19" s="93"/>
      <c r="B19" s="93" t="s">
        <v>4</v>
      </c>
      <c r="C19" s="93"/>
      <c r="D19" s="93"/>
      <c r="E19" s="93"/>
      <c r="F19" s="93"/>
    </row>
    <row r="20" spans="1:6" s="31" customFormat="1" x14ac:dyDescent="0.25"/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5A84-B376-49C1-B968-BB2CEA0A815C}">
  <dimension ref="A1:J25"/>
  <sheetViews>
    <sheetView topLeftCell="A7" workbookViewId="0">
      <selection activeCell="B26" sqref="B26"/>
    </sheetView>
  </sheetViews>
  <sheetFormatPr defaultRowHeight="15" x14ac:dyDescent="0.25"/>
  <cols>
    <col min="2" max="2" width="58.5703125" customWidth="1"/>
    <col min="3" max="3" width="20.140625" customWidth="1"/>
    <col min="4" max="4" width="18.28515625" customWidth="1"/>
    <col min="5" max="5" width="19.7109375" customWidth="1"/>
    <col min="6" max="6" width="28" customWidth="1"/>
    <col min="7" max="7" width="16.5703125" customWidth="1"/>
    <col min="8" max="8" width="20" customWidth="1"/>
    <col min="9" max="9" width="23.140625" customWidth="1"/>
    <col min="10" max="10" width="31.28515625" customWidth="1"/>
  </cols>
  <sheetData>
    <row r="1" spans="1:10" s="76" customFormat="1" ht="32.25" customHeight="1" x14ac:dyDescent="0.3">
      <c r="A1" s="294" t="s">
        <v>350</v>
      </c>
      <c r="B1" s="294"/>
      <c r="C1" s="294"/>
      <c r="D1" s="295"/>
      <c r="E1" s="295"/>
      <c r="F1" s="295"/>
      <c r="G1" s="295"/>
      <c r="H1" s="295"/>
      <c r="I1" s="295"/>
      <c r="J1" s="295"/>
    </row>
    <row r="2" spans="1:10" s="75" customFormat="1" ht="47.25" x14ac:dyDescent="0.25">
      <c r="A2" s="81" t="s">
        <v>1</v>
      </c>
      <c r="B2" s="81" t="s">
        <v>0</v>
      </c>
      <c r="C2" s="82" t="s">
        <v>155</v>
      </c>
      <c r="D2" s="82" t="s">
        <v>21</v>
      </c>
      <c r="E2" s="81" t="s">
        <v>203</v>
      </c>
      <c r="F2" s="14" t="s">
        <v>16</v>
      </c>
      <c r="G2" s="81" t="s">
        <v>17</v>
      </c>
      <c r="H2" s="14" t="s">
        <v>18</v>
      </c>
      <c r="I2" s="14" t="s">
        <v>67</v>
      </c>
      <c r="J2" s="14" t="s">
        <v>36</v>
      </c>
    </row>
    <row r="3" spans="1:10" s="161" customFormat="1" ht="47.25" x14ac:dyDescent="0.25">
      <c r="A3" s="112">
        <v>1</v>
      </c>
      <c r="B3" s="113" t="s">
        <v>187</v>
      </c>
      <c r="C3" s="140">
        <v>1253993.05</v>
      </c>
      <c r="D3" s="140">
        <v>1264335.3999999999</v>
      </c>
      <c r="E3" s="147">
        <v>46017</v>
      </c>
      <c r="F3" s="112" t="s">
        <v>199</v>
      </c>
      <c r="G3" s="147">
        <v>45895</v>
      </c>
      <c r="H3" s="160" t="s">
        <v>214</v>
      </c>
      <c r="I3" s="112" t="s">
        <v>346</v>
      </c>
      <c r="J3" s="216" t="s">
        <v>246</v>
      </c>
    </row>
    <row r="4" spans="1:10" s="148" customFormat="1" ht="78.75" x14ac:dyDescent="0.25">
      <c r="A4" s="112">
        <v>2</v>
      </c>
      <c r="B4" s="113" t="s">
        <v>189</v>
      </c>
      <c r="C4" s="114">
        <v>1009472.71</v>
      </c>
      <c r="D4" s="114">
        <v>1009472.71</v>
      </c>
      <c r="E4" s="147">
        <v>46016</v>
      </c>
      <c r="F4" s="112" t="s">
        <v>199</v>
      </c>
      <c r="G4" s="147">
        <v>45895</v>
      </c>
      <c r="H4" s="160" t="s">
        <v>212</v>
      </c>
      <c r="I4" s="112" t="s">
        <v>346</v>
      </c>
      <c r="J4" s="216" t="s">
        <v>312</v>
      </c>
    </row>
    <row r="5" spans="1:10" s="148" customFormat="1" ht="78.75" x14ac:dyDescent="0.25">
      <c r="A5" s="112">
        <v>3</v>
      </c>
      <c r="B5" s="113" t="s">
        <v>152</v>
      </c>
      <c r="C5" s="128">
        <v>849519.88</v>
      </c>
      <c r="D5" s="128">
        <v>760320.28</v>
      </c>
      <c r="E5" s="147">
        <v>46022</v>
      </c>
      <c r="F5" s="144" t="s">
        <v>103</v>
      </c>
      <c r="G5" s="147">
        <v>45898</v>
      </c>
      <c r="H5" s="160" t="s">
        <v>247</v>
      </c>
      <c r="I5" s="112" t="s">
        <v>324</v>
      </c>
      <c r="J5" s="216" t="s">
        <v>325</v>
      </c>
    </row>
    <row r="6" spans="1:10" s="161" customFormat="1" ht="78.75" x14ac:dyDescent="0.25">
      <c r="A6" s="112">
        <v>4</v>
      </c>
      <c r="B6" s="113" t="s">
        <v>135</v>
      </c>
      <c r="C6" s="140">
        <v>1472564.19</v>
      </c>
      <c r="D6" s="140">
        <v>1370000</v>
      </c>
      <c r="E6" s="147">
        <v>46053</v>
      </c>
      <c r="F6" s="144" t="s">
        <v>190</v>
      </c>
      <c r="G6" s="147">
        <v>45870</v>
      </c>
      <c r="H6" s="160" t="s">
        <v>191</v>
      </c>
      <c r="I6" s="112" t="s">
        <v>324</v>
      </c>
      <c r="J6" s="216" t="s">
        <v>313</v>
      </c>
    </row>
    <row r="7" spans="1:10" s="148" customFormat="1" ht="31.5" x14ac:dyDescent="0.25">
      <c r="A7" s="112">
        <v>5</v>
      </c>
      <c r="B7" s="113" t="s">
        <v>146</v>
      </c>
      <c r="C7" s="231">
        <v>905197.78</v>
      </c>
      <c r="D7" s="232">
        <v>814500</v>
      </c>
      <c r="E7" s="147">
        <v>46022</v>
      </c>
      <c r="F7" s="112" t="s">
        <v>199</v>
      </c>
      <c r="G7" s="147">
        <v>45882</v>
      </c>
      <c r="H7" s="144" t="s">
        <v>198</v>
      </c>
      <c r="I7" s="112" t="s">
        <v>346</v>
      </c>
      <c r="J7" s="216" t="s">
        <v>185</v>
      </c>
    </row>
    <row r="8" spans="1:10" s="108" customFormat="1" ht="378" x14ac:dyDescent="0.25">
      <c r="A8" s="100">
        <v>6</v>
      </c>
      <c r="B8" s="109" t="s">
        <v>148</v>
      </c>
      <c r="C8" s="110">
        <v>2100000</v>
      </c>
      <c r="D8" s="110">
        <v>1981676.1</v>
      </c>
      <c r="E8" s="104" t="s">
        <v>264</v>
      </c>
      <c r="F8" s="100" t="s">
        <v>199</v>
      </c>
      <c r="G8" s="103">
        <v>45895</v>
      </c>
      <c r="H8" s="105" t="s">
        <v>213</v>
      </c>
      <c r="I8" s="219" t="s">
        <v>319</v>
      </c>
      <c r="J8" s="111" t="s">
        <v>115</v>
      </c>
    </row>
    <row r="9" spans="1:10" s="108" customFormat="1" ht="126" x14ac:dyDescent="0.25">
      <c r="A9" s="100">
        <v>7</v>
      </c>
      <c r="B9" s="101" t="s">
        <v>188</v>
      </c>
      <c r="C9" s="107">
        <v>1618311.73</v>
      </c>
      <c r="D9" s="107">
        <v>1590000</v>
      </c>
      <c r="E9" s="103">
        <v>46054</v>
      </c>
      <c r="F9" s="100" t="s">
        <v>262</v>
      </c>
      <c r="G9" s="103">
        <v>45926</v>
      </c>
      <c r="H9" s="105" t="s">
        <v>299</v>
      </c>
      <c r="I9" s="111" t="s">
        <v>331</v>
      </c>
      <c r="J9" s="111" t="s">
        <v>197</v>
      </c>
    </row>
    <row r="10" spans="1:10" s="108" customFormat="1" ht="78.75" x14ac:dyDescent="0.25">
      <c r="A10" s="100">
        <v>8</v>
      </c>
      <c r="B10" s="101" t="s">
        <v>205</v>
      </c>
      <c r="C10" s="212">
        <v>1285292.77</v>
      </c>
      <c r="D10" s="212">
        <v>1285292.77</v>
      </c>
      <c r="E10" s="103">
        <v>46174</v>
      </c>
      <c r="F10" s="100" t="s">
        <v>107</v>
      </c>
      <c r="G10" s="103">
        <v>45947</v>
      </c>
      <c r="H10" s="105" t="s">
        <v>306</v>
      </c>
      <c r="I10" s="111" t="s">
        <v>314</v>
      </c>
      <c r="J10" s="111" t="s">
        <v>208</v>
      </c>
    </row>
    <row r="11" spans="1:10" s="108" customFormat="1" ht="78.75" x14ac:dyDescent="0.25">
      <c r="A11" s="100">
        <v>9</v>
      </c>
      <c r="B11" s="101" t="s">
        <v>206</v>
      </c>
      <c r="C11" s="110">
        <v>3197012.39</v>
      </c>
      <c r="D11" s="110">
        <v>3197012.39</v>
      </c>
      <c r="E11" s="103">
        <v>46174</v>
      </c>
      <c r="F11" s="100" t="s">
        <v>107</v>
      </c>
      <c r="G11" s="103">
        <v>45947</v>
      </c>
      <c r="H11" s="105" t="s">
        <v>306</v>
      </c>
      <c r="I11" s="111" t="s">
        <v>314</v>
      </c>
      <c r="J11" s="111" t="s">
        <v>208</v>
      </c>
    </row>
    <row r="12" spans="1:10" s="108" customFormat="1" ht="157.5" x14ac:dyDescent="0.25">
      <c r="A12" s="100">
        <v>10</v>
      </c>
      <c r="B12" s="163" t="s">
        <v>140</v>
      </c>
      <c r="C12" s="213">
        <v>3014036.94</v>
      </c>
      <c r="D12" s="213">
        <v>3014036.94</v>
      </c>
      <c r="E12" s="103">
        <v>46174</v>
      </c>
      <c r="F12" s="104" t="s">
        <v>304</v>
      </c>
      <c r="G12" s="182">
        <v>45950</v>
      </c>
      <c r="H12" s="105" t="s">
        <v>305</v>
      </c>
      <c r="I12" s="111" t="s">
        <v>332</v>
      </c>
      <c r="J12" s="111" t="s">
        <v>210</v>
      </c>
    </row>
    <row r="13" spans="1:10" s="108" customFormat="1" ht="236.25" x14ac:dyDescent="0.25">
      <c r="A13" s="100">
        <v>11</v>
      </c>
      <c r="B13" s="101" t="s">
        <v>215</v>
      </c>
      <c r="C13" s="110">
        <v>240303.07</v>
      </c>
      <c r="D13" s="110">
        <v>237900</v>
      </c>
      <c r="E13" s="103">
        <v>46157</v>
      </c>
      <c r="F13" s="100" t="s">
        <v>199</v>
      </c>
      <c r="G13" s="103">
        <v>46302</v>
      </c>
      <c r="H13" s="105" t="s">
        <v>301</v>
      </c>
      <c r="I13" s="220" t="s">
        <v>327</v>
      </c>
      <c r="J13" s="111" t="s">
        <v>216</v>
      </c>
    </row>
    <row r="14" spans="1:10" s="108" customFormat="1" ht="258.75" customHeight="1" x14ac:dyDescent="0.25">
      <c r="A14" s="100">
        <v>12</v>
      </c>
      <c r="B14" s="109" t="s">
        <v>149</v>
      </c>
      <c r="C14" s="110">
        <v>2511041.7999999998</v>
      </c>
      <c r="D14" s="110">
        <v>2511041.7999999998</v>
      </c>
      <c r="E14" s="103">
        <v>46204</v>
      </c>
      <c r="F14" s="100" t="s">
        <v>107</v>
      </c>
      <c r="G14" s="103">
        <v>45957</v>
      </c>
      <c r="H14" s="105" t="s">
        <v>318</v>
      </c>
      <c r="I14" s="111" t="s">
        <v>314</v>
      </c>
      <c r="J14" s="111" t="s">
        <v>245</v>
      </c>
    </row>
    <row r="15" spans="1:10" s="108" customFormat="1" ht="31.5" x14ac:dyDescent="0.25">
      <c r="A15" s="100">
        <v>13</v>
      </c>
      <c r="B15" s="101" t="s">
        <v>151</v>
      </c>
      <c r="C15" s="110">
        <v>350354.85</v>
      </c>
      <c r="D15" s="110">
        <v>349000</v>
      </c>
      <c r="E15" s="103">
        <v>46158</v>
      </c>
      <c r="F15" s="100" t="s">
        <v>262</v>
      </c>
      <c r="G15" s="103">
        <v>45926</v>
      </c>
      <c r="H15" s="105" t="s">
        <v>298</v>
      </c>
      <c r="I15" s="100" t="s">
        <v>328</v>
      </c>
      <c r="J15" s="111" t="s">
        <v>114</v>
      </c>
    </row>
    <row r="16" spans="1:10" s="108" customFormat="1" ht="78.75" x14ac:dyDescent="0.25">
      <c r="A16" s="100">
        <v>14</v>
      </c>
      <c r="B16" s="109" t="s">
        <v>154</v>
      </c>
      <c r="C16" s="110">
        <v>1114742.02</v>
      </c>
      <c r="D16" s="110">
        <v>902940.76</v>
      </c>
      <c r="E16" s="103">
        <v>46158</v>
      </c>
      <c r="F16" s="104" t="s">
        <v>263</v>
      </c>
      <c r="G16" s="103">
        <v>45936</v>
      </c>
      <c r="H16" s="105" t="s">
        <v>302</v>
      </c>
      <c r="I16" s="111" t="s">
        <v>314</v>
      </c>
      <c r="J16" s="111" t="s">
        <v>242</v>
      </c>
    </row>
    <row r="17" spans="1:8" s="31" customFormat="1" ht="18.75" x14ac:dyDescent="0.25">
      <c r="A17" s="8"/>
      <c r="B17" s="9"/>
      <c r="C17" s="23">
        <f>SUM(C3:C16)</f>
        <v>20921843.18</v>
      </c>
      <c r="D17" s="23">
        <f>SUM(D3:D16)</f>
        <v>20287529.150000002</v>
      </c>
      <c r="E17" s="20"/>
      <c r="G17" s="16"/>
      <c r="H17" s="16"/>
    </row>
    <row r="18" spans="1:8" s="31" customFormat="1" ht="18.75" x14ac:dyDescent="0.25">
      <c r="A18" s="8"/>
      <c r="B18" s="41" t="s">
        <v>92</v>
      </c>
      <c r="C18" s="60"/>
      <c r="D18" s="60">
        <v>31922000</v>
      </c>
      <c r="E18" s="20"/>
      <c r="G18" s="16"/>
      <c r="H18" s="16"/>
    </row>
    <row r="19" spans="1:8" s="31" customFormat="1" ht="18.75" x14ac:dyDescent="0.25">
      <c r="A19" s="8"/>
      <c r="B19" s="41" t="s">
        <v>288</v>
      </c>
      <c r="C19" s="195"/>
      <c r="D19" s="195"/>
      <c r="E19" s="20"/>
      <c r="G19" s="16"/>
      <c r="H19" s="16"/>
    </row>
    <row r="20" spans="1:8" s="31" customFormat="1" x14ac:dyDescent="0.25">
      <c r="B20" s="19"/>
      <c r="C20" s="18"/>
      <c r="D20" s="18"/>
      <c r="E20" s="20"/>
      <c r="G20" s="16"/>
      <c r="H20" s="16"/>
    </row>
    <row r="21" spans="1:8" s="31" customFormat="1" x14ac:dyDescent="0.25">
      <c r="A21" s="3"/>
      <c r="B21" s="296" t="s">
        <v>394</v>
      </c>
      <c r="C21" s="297"/>
      <c r="D21" s="297"/>
      <c r="E21" s="297"/>
      <c r="F21" s="3"/>
      <c r="G21" s="3"/>
      <c r="H21" s="1"/>
    </row>
    <row r="22" spans="1:8" s="31" customFormat="1" x14ac:dyDescent="0.25">
      <c r="A22" s="3"/>
      <c r="B22" s="3"/>
      <c r="C22" s="3"/>
      <c r="D22" s="3"/>
      <c r="E22" s="3"/>
      <c r="F22" s="3"/>
      <c r="G22" s="3"/>
      <c r="H22" s="1"/>
    </row>
    <row r="23" spans="1:8" s="31" customFormat="1" x14ac:dyDescent="0.25">
      <c r="A23" s="3"/>
      <c r="B23" s="3"/>
      <c r="C23" s="3"/>
      <c r="D23" s="3"/>
      <c r="E23" s="3"/>
      <c r="F23" s="3"/>
      <c r="G23" s="3"/>
      <c r="H23" s="1"/>
    </row>
    <row r="24" spans="1:8" s="31" customFormat="1" x14ac:dyDescent="0.25">
      <c r="A24" s="3"/>
      <c r="B24" s="296" t="s">
        <v>395</v>
      </c>
      <c r="C24" s="297"/>
      <c r="D24" s="297"/>
      <c r="E24" s="297"/>
      <c r="F24" s="3"/>
      <c r="G24" s="3"/>
      <c r="H24" s="1"/>
    </row>
    <row r="25" spans="1:8" s="31" customFormat="1" ht="15.75" x14ac:dyDescent="0.25">
      <c r="A25" s="3"/>
      <c r="B25" s="93" t="s">
        <v>4</v>
      </c>
      <c r="C25" s="93"/>
      <c r="D25" s="93"/>
      <c r="E25" s="93"/>
      <c r="F25" s="3"/>
      <c r="G25" s="3"/>
      <c r="H25" s="1"/>
    </row>
  </sheetData>
  <mergeCells count="3">
    <mergeCell ref="A1:J1"/>
    <mergeCell ref="B24:E24"/>
    <mergeCell ref="B21:E2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2AF2-955C-40C5-95F7-A79AF4D25D46}">
  <dimension ref="A1:K17"/>
  <sheetViews>
    <sheetView topLeftCell="A4" workbookViewId="0">
      <selection activeCell="B22" sqref="B22"/>
    </sheetView>
  </sheetViews>
  <sheetFormatPr defaultRowHeight="15" x14ac:dyDescent="0.25"/>
  <cols>
    <col min="1" max="1" width="7.140625" customWidth="1"/>
    <col min="2" max="2" width="49.85546875" customWidth="1"/>
    <col min="3" max="3" width="17.7109375" customWidth="1"/>
    <col min="4" max="4" width="28.28515625" customWidth="1"/>
    <col min="5" max="5" width="18" customWidth="1"/>
    <col min="6" max="6" width="26.5703125" customWidth="1"/>
    <col min="7" max="7" width="13" customWidth="1"/>
    <col min="8" max="8" width="15.28515625" customWidth="1"/>
    <col min="9" max="9" width="13.42578125" customWidth="1"/>
    <col min="10" max="11" width="21.85546875" customWidth="1"/>
  </cols>
  <sheetData>
    <row r="1" spans="1:11" s="76" customFormat="1" ht="34.5" customHeight="1" x14ac:dyDescent="0.3">
      <c r="A1" s="298" t="s">
        <v>350</v>
      </c>
      <c r="B1" s="298"/>
      <c r="C1" s="298"/>
      <c r="D1" s="299"/>
      <c r="E1" s="299"/>
      <c r="F1" s="299"/>
      <c r="G1" s="299"/>
      <c r="H1" s="299"/>
      <c r="I1" s="299"/>
      <c r="J1" s="299"/>
      <c r="K1" s="299"/>
    </row>
    <row r="2" spans="1:11" s="76" customFormat="1" ht="15" customHeight="1" x14ac:dyDescent="0.25">
      <c r="A2" s="302" t="s">
        <v>1</v>
      </c>
      <c r="B2" s="302" t="s">
        <v>0</v>
      </c>
      <c r="C2" s="305" t="s">
        <v>155</v>
      </c>
      <c r="D2" s="302" t="s">
        <v>34</v>
      </c>
      <c r="E2" s="302" t="s">
        <v>21</v>
      </c>
      <c r="F2" s="302" t="s">
        <v>16</v>
      </c>
      <c r="G2" s="302" t="s">
        <v>35</v>
      </c>
      <c r="H2" s="302" t="s">
        <v>18</v>
      </c>
      <c r="I2" s="303" t="s">
        <v>203</v>
      </c>
      <c r="J2" s="302" t="s">
        <v>67</v>
      </c>
      <c r="K2" s="300" t="s">
        <v>36</v>
      </c>
    </row>
    <row r="3" spans="1:11" s="76" customFormat="1" ht="30" customHeight="1" x14ac:dyDescent="0.25">
      <c r="A3" s="302"/>
      <c r="B3" s="302"/>
      <c r="C3" s="305"/>
      <c r="D3" s="302"/>
      <c r="E3" s="302"/>
      <c r="F3" s="302"/>
      <c r="G3" s="302"/>
      <c r="H3" s="302"/>
      <c r="I3" s="304"/>
      <c r="J3" s="302"/>
      <c r="K3" s="301"/>
    </row>
    <row r="4" spans="1:11" s="68" customFormat="1" ht="31.5" x14ac:dyDescent="0.25">
      <c r="A4" s="43">
        <v>1</v>
      </c>
      <c r="B4" s="52" t="s">
        <v>142</v>
      </c>
      <c r="C4" s="250">
        <v>942298.33</v>
      </c>
      <c r="D4" s="78" t="s">
        <v>73</v>
      </c>
      <c r="E4" s="54"/>
      <c r="F4" s="43"/>
      <c r="G4" s="79"/>
      <c r="H4" s="54"/>
      <c r="I4" s="65"/>
      <c r="J4" s="43" t="s">
        <v>207</v>
      </c>
      <c r="K4" s="71"/>
    </row>
    <row r="5" spans="1:11" s="183" customFormat="1" ht="141.75" x14ac:dyDescent="0.25">
      <c r="A5" s="100">
        <v>2</v>
      </c>
      <c r="B5" s="163" t="s">
        <v>143</v>
      </c>
      <c r="C5" s="213">
        <v>7359923.71</v>
      </c>
      <c r="D5" s="181" t="s">
        <v>73</v>
      </c>
      <c r="E5" s="213">
        <v>7359923.71</v>
      </c>
      <c r="F5" s="104" t="s">
        <v>304</v>
      </c>
      <c r="G5" s="103">
        <v>45979</v>
      </c>
      <c r="H5" s="105" t="s">
        <v>317</v>
      </c>
      <c r="I5" s="103">
        <v>46204</v>
      </c>
      <c r="J5" s="111" t="s">
        <v>320</v>
      </c>
      <c r="K5" s="111"/>
    </row>
    <row r="6" spans="1:11" s="108" customFormat="1" ht="173.25" x14ac:dyDescent="0.25">
      <c r="A6" s="100">
        <v>3</v>
      </c>
      <c r="B6" s="163" t="s">
        <v>141</v>
      </c>
      <c r="C6" s="213">
        <v>6775789.6200000001</v>
      </c>
      <c r="D6" s="181" t="s">
        <v>73</v>
      </c>
      <c r="E6" s="213">
        <v>6775789.6200000001</v>
      </c>
      <c r="F6" s="104" t="s">
        <v>304</v>
      </c>
      <c r="G6" s="182">
        <v>45950</v>
      </c>
      <c r="H6" s="105" t="s">
        <v>305</v>
      </c>
      <c r="I6" s="103">
        <v>46174</v>
      </c>
      <c r="J6" s="111" t="s">
        <v>326</v>
      </c>
      <c r="K6" s="214"/>
    </row>
    <row r="7" spans="1:11" s="108" customFormat="1" ht="267.75" x14ac:dyDescent="0.25">
      <c r="A7" s="100">
        <v>4</v>
      </c>
      <c r="B7" s="163" t="s">
        <v>144</v>
      </c>
      <c r="C7" s="213">
        <v>9758225.9700000007</v>
      </c>
      <c r="D7" s="181" t="s">
        <v>73</v>
      </c>
      <c r="E7" s="213">
        <v>9753651.1500000004</v>
      </c>
      <c r="F7" s="104" t="s">
        <v>304</v>
      </c>
      <c r="G7" s="103">
        <v>45978</v>
      </c>
      <c r="H7" s="105" t="s">
        <v>316</v>
      </c>
      <c r="I7" s="103">
        <v>46174</v>
      </c>
      <c r="J7" s="111" t="s">
        <v>321</v>
      </c>
      <c r="K7" s="111"/>
    </row>
    <row r="8" spans="1:11" s="237" customFormat="1" ht="47.25" x14ac:dyDescent="0.25">
      <c r="A8" s="123">
        <v>5</v>
      </c>
      <c r="B8" s="142" t="s">
        <v>145</v>
      </c>
      <c r="C8" s="233">
        <v>521472.58</v>
      </c>
      <c r="D8" s="234" t="s">
        <v>13</v>
      </c>
      <c r="E8" s="233">
        <v>468000</v>
      </c>
      <c r="F8" s="112" t="s">
        <v>199</v>
      </c>
      <c r="G8" s="235">
        <v>45880</v>
      </c>
      <c r="H8" s="160" t="s">
        <v>200</v>
      </c>
      <c r="I8" s="144" t="s">
        <v>204</v>
      </c>
      <c r="J8" s="112" t="s">
        <v>346</v>
      </c>
      <c r="K8" s="236"/>
    </row>
    <row r="9" spans="1:11" s="108" customFormat="1" ht="220.5" x14ac:dyDescent="0.25">
      <c r="A9" s="100">
        <v>6</v>
      </c>
      <c r="B9" s="101" t="s">
        <v>147</v>
      </c>
      <c r="C9" s="107">
        <v>5039589.57</v>
      </c>
      <c r="D9" s="107"/>
      <c r="E9" s="107">
        <v>5039589.57</v>
      </c>
      <c r="F9" s="100" t="s">
        <v>107</v>
      </c>
      <c r="G9" s="103">
        <v>45947</v>
      </c>
      <c r="H9" s="105" t="s">
        <v>306</v>
      </c>
      <c r="I9" s="182">
        <v>46174</v>
      </c>
      <c r="J9" s="111" t="s">
        <v>333</v>
      </c>
      <c r="K9" s="111" t="s">
        <v>315</v>
      </c>
    </row>
    <row r="10" spans="1:11" s="30" customFormat="1" ht="18.75" x14ac:dyDescent="0.25">
      <c r="A10" s="26"/>
      <c r="B10" s="27"/>
      <c r="C10" s="38">
        <f>SUM(C4:C9)</f>
        <v>30397299.780000001</v>
      </c>
      <c r="D10" s="28"/>
      <c r="E10" s="38">
        <f>SUM(E4:E9)</f>
        <v>29396954.050000001</v>
      </c>
      <c r="F10" s="28"/>
      <c r="G10" s="28"/>
      <c r="H10" s="28"/>
      <c r="I10" s="29"/>
      <c r="J10" s="39"/>
      <c r="K10" s="28"/>
    </row>
    <row r="11" spans="1:11" s="31" customFormat="1" ht="18.75" x14ac:dyDescent="0.3">
      <c r="B11" s="40" t="s">
        <v>92</v>
      </c>
      <c r="C11" s="42">
        <v>18078000</v>
      </c>
    </row>
    <row r="12" spans="1:11" s="31" customFormat="1" x14ac:dyDescent="0.25"/>
    <row r="13" spans="1:11" s="31" customFormat="1" x14ac:dyDescent="0.25">
      <c r="A13" s="3"/>
      <c r="B13" s="296" t="s">
        <v>394</v>
      </c>
      <c r="C13" s="297"/>
      <c r="D13" s="297"/>
      <c r="E13" s="297"/>
      <c r="F13" s="3"/>
      <c r="G13" s="3"/>
      <c r="H13" s="3"/>
      <c r="I13" s="3"/>
      <c r="J13" s="1"/>
    </row>
    <row r="14" spans="1:11" s="31" customFormat="1" x14ac:dyDescent="0.25">
      <c r="A14" s="3"/>
      <c r="B14" s="3"/>
      <c r="C14" s="3"/>
      <c r="D14" s="3"/>
      <c r="E14" s="3"/>
      <c r="F14" s="3"/>
      <c r="G14" s="3"/>
      <c r="H14" s="3"/>
      <c r="I14" s="3"/>
      <c r="J14" s="1"/>
    </row>
    <row r="15" spans="1:11" s="31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1"/>
    </row>
    <row r="16" spans="1:11" s="31" customFormat="1" x14ac:dyDescent="0.25">
      <c r="A16" s="3"/>
      <c r="B16" s="296" t="s">
        <v>395</v>
      </c>
      <c r="C16" s="297"/>
      <c r="D16" s="297"/>
      <c r="E16" s="297"/>
      <c r="F16" s="3"/>
      <c r="G16" s="3"/>
      <c r="H16" s="3"/>
      <c r="I16" s="3"/>
      <c r="J16" s="1"/>
    </row>
    <row r="17" spans="1:10" s="31" customFormat="1" ht="15.75" x14ac:dyDescent="0.25">
      <c r="A17" s="3"/>
      <c r="B17" s="93" t="s">
        <v>4</v>
      </c>
      <c r="C17" s="93"/>
      <c r="D17" s="93"/>
      <c r="E17" s="93"/>
      <c r="F17" s="3"/>
      <c r="G17" s="3"/>
      <c r="H17" s="3"/>
      <c r="I17" s="3"/>
      <c r="J17" s="1"/>
    </row>
  </sheetData>
  <mergeCells count="14">
    <mergeCell ref="B13:E13"/>
    <mergeCell ref="B16:E16"/>
    <mergeCell ref="A1:K1"/>
    <mergeCell ref="K2:K3"/>
    <mergeCell ref="F2:F3"/>
    <mergeCell ref="G2:G3"/>
    <mergeCell ref="H2:H3"/>
    <mergeCell ref="I2:I3"/>
    <mergeCell ref="J2:J3"/>
    <mergeCell ref="E2:E3"/>
    <mergeCell ref="A2:A3"/>
    <mergeCell ref="B2:B3"/>
    <mergeCell ref="C2:C3"/>
    <mergeCell ref="D2:D3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7F76-7BC1-4C0E-90AF-46E56028B6B3}">
  <dimension ref="A1:I28"/>
  <sheetViews>
    <sheetView workbookViewId="0">
      <selection activeCell="I14" sqref="I14"/>
    </sheetView>
  </sheetViews>
  <sheetFormatPr defaultRowHeight="15" x14ac:dyDescent="0.25"/>
  <cols>
    <col min="1" max="1" width="6.7109375" customWidth="1"/>
    <col min="2" max="2" width="27.28515625" customWidth="1"/>
    <col min="3" max="3" width="13.42578125" customWidth="1"/>
    <col min="4" max="4" width="13.140625" customWidth="1"/>
    <col min="5" max="5" width="13" customWidth="1"/>
    <col min="6" max="6" width="18.42578125" customWidth="1"/>
    <col min="7" max="7" width="15.140625" customWidth="1"/>
    <col min="8" max="8" width="15.28515625" customWidth="1"/>
    <col min="9" max="9" width="13.85546875" customWidth="1"/>
  </cols>
  <sheetData>
    <row r="1" spans="1:9" x14ac:dyDescent="0.25">
      <c r="A1" s="291" t="s">
        <v>351</v>
      </c>
      <c r="B1" s="291"/>
      <c r="C1" s="291"/>
      <c r="D1" s="292"/>
      <c r="E1" s="292"/>
      <c r="F1" s="292"/>
      <c r="G1" s="293"/>
      <c r="H1" s="293"/>
      <c r="I1" s="293"/>
    </row>
    <row r="2" spans="1:9" ht="20.25" customHeight="1" x14ac:dyDescent="0.25">
      <c r="A2" s="306"/>
      <c r="B2" s="306"/>
      <c r="C2" s="306"/>
      <c r="D2" s="306"/>
      <c r="E2" s="306"/>
      <c r="F2" s="306"/>
      <c r="G2" s="306"/>
      <c r="H2" s="306"/>
      <c r="I2" s="306"/>
    </row>
    <row r="3" spans="1:9" ht="63" x14ac:dyDescent="0.25">
      <c r="A3" s="229" t="s">
        <v>1</v>
      </c>
      <c r="B3" s="229" t="s">
        <v>0</v>
      </c>
      <c r="C3" s="230" t="s">
        <v>155</v>
      </c>
      <c r="D3" s="230" t="s">
        <v>21</v>
      </c>
      <c r="E3" s="229" t="s">
        <v>203</v>
      </c>
      <c r="F3" s="65" t="s">
        <v>16</v>
      </c>
      <c r="G3" s="229" t="s">
        <v>282</v>
      </c>
      <c r="H3" s="65" t="s">
        <v>67</v>
      </c>
      <c r="I3" s="65" t="s">
        <v>36</v>
      </c>
    </row>
    <row r="4" spans="1:9" s="259" customFormat="1" ht="63" x14ac:dyDescent="0.25">
      <c r="A4" s="270">
        <v>1</v>
      </c>
      <c r="B4" s="109" t="s">
        <v>229</v>
      </c>
      <c r="C4" s="102">
        <v>80000</v>
      </c>
      <c r="D4" s="110"/>
      <c r="E4" s="271"/>
      <c r="F4" s="100" t="s">
        <v>107</v>
      </c>
      <c r="G4" s="100"/>
      <c r="H4" s="104" t="s">
        <v>207</v>
      </c>
      <c r="I4" s="100"/>
    </row>
    <row r="5" spans="1:9" s="259" customFormat="1" ht="63" x14ac:dyDescent="0.25">
      <c r="A5" s="100">
        <v>2</v>
      </c>
      <c r="B5" s="109" t="s">
        <v>230</v>
      </c>
      <c r="C5" s="102">
        <v>160000</v>
      </c>
      <c r="D5" s="110"/>
      <c r="E5" s="104"/>
      <c r="F5" s="100" t="s">
        <v>107</v>
      </c>
      <c r="G5" s="104"/>
      <c r="H5" s="104" t="s">
        <v>207</v>
      </c>
      <c r="I5" s="104"/>
    </row>
    <row r="6" spans="1:9" s="259" customFormat="1" ht="63" x14ac:dyDescent="0.25">
      <c r="A6" s="100">
        <v>3</v>
      </c>
      <c r="B6" s="109" t="s">
        <v>231</v>
      </c>
      <c r="C6" s="102">
        <v>80000</v>
      </c>
      <c r="D6" s="102"/>
      <c r="E6" s="104"/>
      <c r="F6" s="100" t="s">
        <v>107</v>
      </c>
      <c r="G6" s="104"/>
      <c r="H6" s="104" t="s">
        <v>207</v>
      </c>
      <c r="I6" s="104"/>
    </row>
    <row r="7" spans="1:9" ht="94.5" x14ac:dyDescent="0.25">
      <c r="A7" s="245">
        <v>4</v>
      </c>
      <c r="B7" s="57" t="s">
        <v>232</v>
      </c>
      <c r="C7" s="45">
        <v>80000</v>
      </c>
      <c r="D7" s="45"/>
      <c r="E7" s="65"/>
      <c r="F7" s="229" t="s">
        <v>107</v>
      </c>
      <c r="G7" s="65"/>
      <c r="H7" s="71" t="s">
        <v>234</v>
      </c>
      <c r="I7" s="245"/>
    </row>
    <row r="8" spans="1:9" ht="94.5" x14ac:dyDescent="0.25">
      <c r="A8" s="245">
        <v>5</v>
      </c>
      <c r="B8" s="57" t="s">
        <v>233</v>
      </c>
      <c r="C8" s="45">
        <v>80000</v>
      </c>
      <c r="D8" s="45"/>
      <c r="E8" s="65"/>
      <c r="F8" s="229" t="s">
        <v>107</v>
      </c>
      <c r="G8" s="65"/>
      <c r="H8" s="71" t="s">
        <v>234</v>
      </c>
      <c r="I8" s="65"/>
    </row>
    <row r="9" spans="1:9" s="259" customFormat="1" ht="63" x14ac:dyDescent="0.25">
      <c r="A9" s="100">
        <v>6</v>
      </c>
      <c r="B9" s="109" t="s">
        <v>296</v>
      </c>
      <c r="C9" s="102">
        <v>80000</v>
      </c>
      <c r="D9" s="102"/>
      <c r="E9" s="104"/>
      <c r="F9" s="100" t="s">
        <v>107</v>
      </c>
      <c r="G9" s="104"/>
      <c r="H9" s="104" t="s">
        <v>207</v>
      </c>
      <c r="I9" s="104"/>
    </row>
    <row r="10" spans="1:9" s="258" customFormat="1" ht="63" x14ac:dyDescent="0.25">
      <c r="A10" s="100">
        <v>7</v>
      </c>
      <c r="B10" s="109" t="s">
        <v>353</v>
      </c>
      <c r="C10" s="256">
        <v>160000</v>
      </c>
      <c r="D10" s="256"/>
      <c r="E10" s="257"/>
      <c r="F10" s="100" t="s">
        <v>107</v>
      </c>
      <c r="G10" s="257"/>
      <c r="H10" s="104" t="s">
        <v>207</v>
      </c>
      <c r="I10" s="104"/>
    </row>
    <row r="11" spans="1:9" s="254" customFormat="1" ht="94.5" x14ac:dyDescent="0.25">
      <c r="A11" s="245">
        <v>8</v>
      </c>
      <c r="B11" s="57" t="s">
        <v>292</v>
      </c>
      <c r="C11" s="45">
        <v>80000</v>
      </c>
      <c r="D11" s="253"/>
      <c r="E11" s="255"/>
      <c r="F11" s="245" t="s">
        <v>107</v>
      </c>
      <c r="G11" s="255"/>
      <c r="H11" s="71" t="s">
        <v>234</v>
      </c>
      <c r="I11" s="65"/>
    </row>
    <row r="12" spans="1:9" s="254" customFormat="1" ht="94.5" x14ac:dyDescent="0.25">
      <c r="A12" s="245">
        <v>9</v>
      </c>
      <c r="B12" s="57" t="s">
        <v>349</v>
      </c>
      <c r="C12" s="45">
        <v>80000</v>
      </c>
      <c r="D12" s="253"/>
      <c r="E12" s="255"/>
      <c r="F12" s="245" t="s">
        <v>107</v>
      </c>
      <c r="G12" s="255"/>
      <c r="H12" s="71" t="s">
        <v>234</v>
      </c>
      <c r="I12" s="65"/>
    </row>
    <row r="13" spans="1:9" s="254" customFormat="1" ht="94.5" x14ac:dyDescent="0.25">
      <c r="A13" s="245">
        <v>10</v>
      </c>
      <c r="B13" s="57" t="s">
        <v>123</v>
      </c>
      <c r="C13" s="45">
        <v>80000</v>
      </c>
      <c r="D13" s="253"/>
      <c r="E13" s="255"/>
      <c r="F13" s="245" t="s">
        <v>107</v>
      </c>
      <c r="G13" s="255"/>
      <c r="H13" s="71" t="s">
        <v>234</v>
      </c>
      <c r="I13" s="65"/>
    </row>
    <row r="14" spans="1:9" s="258" customFormat="1" ht="63" x14ac:dyDescent="0.25">
      <c r="A14" s="100">
        <v>11</v>
      </c>
      <c r="B14" s="109" t="s">
        <v>300</v>
      </c>
      <c r="C14" s="102">
        <v>80000</v>
      </c>
      <c r="D14" s="256"/>
      <c r="E14" s="257"/>
      <c r="F14" s="100" t="s">
        <v>107</v>
      </c>
      <c r="G14" s="257"/>
      <c r="H14" s="104" t="s">
        <v>207</v>
      </c>
      <c r="I14" s="104"/>
    </row>
    <row r="15" spans="1:9" s="258" customFormat="1" ht="47.25" x14ac:dyDescent="0.25">
      <c r="A15" s="100">
        <v>12</v>
      </c>
      <c r="B15" s="109" t="s">
        <v>361</v>
      </c>
      <c r="C15" s="102">
        <v>80000</v>
      </c>
      <c r="D15" s="256"/>
      <c r="E15" s="257"/>
      <c r="F15" s="100" t="s">
        <v>239</v>
      </c>
      <c r="G15" s="257"/>
      <c r="H15" s="100" t="s">
        <v>405</v>
      </c>
      <c r="I15" s="104"/>
    </row>
    <row r="16" spans="1:9" s="258" customFormat="1" ht="63" x14ac:dyDescent="0.25">
      <c r="A16" s="100">
        <v>13</v>
      </c>
      <c r="B16" s="109" t="s">
        <v>362</v>
      </c>
      <c r="C16" s="102">
        <v>80000</v>
      </c>
      <c r="D16" s="256"/>
      <c r="E16" s="257"/>
      <c r="F16" s="100" t="s">
        <v>239</v>
      </c>
      <c r="G16" s="257"/>
      <c r="H16" s="100" t="s">
        <v>405</v>
      </c>
      <c r="I16" s="104"/>
    </row>
    <row r="17" spans="1:9" s="254" customFormat="1" ht="15.75" x14ac:dyDescent="0.25">
      <c r="A17" s="245"/>
      <c r="B17" s="57"/>
      <c r="C17" s="45"/>
      <c r="D17" s="253"/>
      <c r="E17" s="255"/>
      <c r="F17" s="245"/>
      <c r="G17" s="255"/>
      <c r="H17" s="71"/>
      <c r="I17" s="65"/>
    </row>
    <row r="18" spans="1:9" ht="15.75" x14ac:dyDescent="0.25">
      <c r="A18" s="86"/>
      <c r="B18" s="87"/>
      <c r="C18" s="251">
        <f>SUM(C4:C17)</f>
        <v>1200000</v>
      </c>
      <c r="D18" s="251">
        <f>SUM(D4:D9)</f>
        <v>0</v>
      </c>
      <c r="E18" s="73"/>
      <c r="F18" s="68"/>
      <c r="G18" s="96"/>
      <c r="H18" s="68"/>
      <c r="I18" s="68"/>
    </row>
    <row r="19" spans="1:9" ht="15.75" x14ac:dyDescent="0.25">
      <c r="A19" s="86"/>
      <c r="B19" s="91" t="s">
        <v>92</v>
      </c>
      <c r="C19" s="77"/>
      <c r="D19" s="77">
        <v>1987600</v>
      </c>
      <c r="E19" s="73"/>
      <c r="F19" s="68"/>
      <c r="G19" s="96"/>
      <c r="H19" s="68"/>
      <c r="I19" s="68"/>
    </row>
    <row r="20" spans="1:9" ht="15.75" x14ac:dyDescent="0.25">
      <c r="A20" s="86"/>
      <c r="B20" s="91" t="s">
        <v>283</v>
      </c>
      <c r="C20" s="187"/>
      <c r="D20" s="45"/>
      <c r="E20" s="73"/>
      <c r="F20" s="68"/>
      <c r="G20" s="96"/>
      <c r="H20" s="68"/>
      <c r="I20" s="68"/>
    </row>
    <row r="21" spans="1:9" ht="15.75" x14ac:dyDescent="0.25">
      <c r="A21" s="68"/>
      <c r="B21" s="97"/>
      <c r="C21" s="98"/>
      <c r="D21" s="98"/>
      <c r="E21" s="73"/>
      <c r="F21" s="68"/>
      <c r="G21" s="96"/>
      <c r="H21" s="68"/>
      <c r="I21" s="68"/>
    </row>
    <row r="22" spans="1:9" ht="15.75" x14ac:dyDescent="0.25">
      <c r="A22" s="68"/>
      <c r="B22" s="97"/>
      <c r="C22" s="98"/>
      <c r="D22" s="98"/>
      <c r="E22" s="73"/>
      <c r="F22" s="68"/>
      <c r="G22" s="96"/>
      <c r="H22" s="68"/>
      <c r="I22" s="68"/>
    </row>
    <row r="23" spans="1:9" ht="15.75" x14ac:dyDescent="0.25">
      <c r="A23" s="93"/>
      <c r="B23" s="296" t="s">
        <v>394</v>
      </c>
      <c r="C23" s="297"/>
      <c r="D23" s="297"/>
      <c r="E23" s="297"/>
      <c r="F23" s="93"/>
      <c r="G23" s="68"/>
      <c r="H23" s="68"/>
      <c r="I23" s="68"/>
    </row>
    <row r="24" spans="1:9" ht="15.75" x14ac:dyDescent="0.25">
      <c r="A24" s="93"/>
      <c r="B24" s="93"/>
      <c r="C24" s="93"/>
      <c r="D24" s="93"/>
      <c r="E24" s="93"/>
      <c r="F24" s="93"/>
      <c r="G24" s="68"/>
      <c r="H24" s="68"/>
      <c r="I24" s="68"/>
    </row>
    <row r="25" spans="1:9" ht="15.75" x14ac:dyDescent="0.25">
      <c r="A25" s="93"/>
      <c r="B25" s="296" t="s">
        <v>395</v>
      </c>
      <c r="C25" s="297"/>
      <c r="D25" s="297"/>
      <c r="E25" s="297"/>
      <c r="F25" s="93"/>
      <c r="G25" s="68"/>
      <c r="H25" s="68"/>
      <c r="I25" s="68"/>
    </row>
    <row r="26" spans="1:9" ht="15.75" x14ac:dyDescent="0.25">
      <c r="A26" s="93"/>
      <c r="B26" s="93" t="s">
        <v>4</v>
      </c>
      <c r="C26" s="93"/>
      <c r="D26" s="93"/>
      <c r="E26" s="93"/>
      <c r="F26" s="93"/>
      <c r="G26" s="68"/>
      <c r="H26" s="68"/>
      <c r="I26" s="68"/>
    </row>
    <row r="27" spans="1:9" ht="15.75" x14ac:dyDescent="0.25">
      <c r="A27" s="93"/>
      <c r="B27" s="93"/>
      <c r="C27" s="93"/>
      <c r="D27" s="93"/>
      <c r="E27" s="93"/>
      <c r="F27" s="93"/>
      <c r="G27" s="68"/>
      <c r="H27" s="68"/>
      <c r="I27" s="68"/>
    </row>
    <row r="28" spans="1:9" x14ac:dyDescent="0.25">
      <c r="A28" s="31"/>
      <c r="B28" s="31"/>
      <c r="C28" s="31"/>
      <c r="D28" s="31"/>
      <c r="E28" s="31"/>
      <c r="F28" s="31"/>
      <c r="G28" s="31"/>
      <c r="H28" s="31"/>
      <c r="I28" s="31"/>
    </row>
  </sheetData>
  <mergeCells count="3">
    <mergeCell ref="A1:I2"/>
    <mergeCell ref="B23:E23"/>
    <mergeCell ref="B25:E2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DAA8-67D7-4AE5-82A0-C5E60FE579A1}">
  <dimension ref="A1:J24"/>
  <sheetViews>
    <sheetView topLeftCell="A5" workbookViewId="0">
      <selection activeCell="B5" sqref="B5"/>
    </sheetView>
  </sheetViews>
  <sheetFormatPr defaultRowHeight="15" x14ac:dyDescent="0.25"/>
  <cols>
    <col min="1" max="1" width="7.42578125" customWidth="1"/>
    <col min="2" max="2" width="53.28515625" customWidth="1"/>
    <col min="3" max="3" width="20.85546875" customWidth="1"/>
    <col min="4" max="4" width="18" customWidth="1"/>
    <col min="5" max="5" width="19.42578125" customWidth="1"/>
    <col min="6" max="6" width="27" customWidth="1"/>
    <col min="7" max="7" width="15.7109375" customWidth="1"/>
    <col min="8" max="8" width="17.42578125" customWidth="1"/>
    <col min="9" max="9" width="18.7109375" customWidth="1"/>
    <col min="10" max="10" width="21" customWidth="1"/>
  </cols>
  <sheetData>
    <row r="1" spans="1:10" s="49" customFormat="1" ht="32.25" customHeight="1" x14ac:dyDescent="0.25">
      <c r="A1" s="279" t="s">
        <v>403</v>
      </c>
      <c r="B1" s="280"/>
      <c r="C1" s="280"/>
      <c r="D1" s="277"/>
      <c r="E1" s="277"/>
      <c r="F1" s="277"/>
      <c r="G1" s="277"/>
      <c r="H1" s="277"/>
      <c r="I1" s="277"/>
      <c r="J1" s="278"/>
    </row>
    <row r="2" spans="1:10" s="73" customFormat="1" ht="33" customHeight="1" x14ac:dyDescent="0.25">
      <c r="A2" s="43" t="s">
        <v>1</v>
      </c>
      <c r="B2" s="43" t="s">
        <v>0</v>
      </c>
      <c r="C2" s="94" t="s">
        <v>352</v>
      </c>
      <c r="D2" s="94" t="s">
        <v>21</v>
      </c>
      <c r="E2" s="43" t="s">
        <v>203</v>
      </c>
      <c r="F2" s="65" t="s">
        <v>16</v>
      </c>
      <c r="G2" s="43" t="s">
        <v>17</v>
      </c>
      <c r="H2" s="65" t="s">
        <v>18</v>
      </c>
      <c r="I2" s="65" t="s">
        <v>67</v>
      </c>
      <c r="J2" s="65" t="s">
        <v>36</v>
      </c>
    </row>
    <row r="3" spans="1:10" s="73" customFormat="1" ht="126" x14ac:dyDescent="0.25">
      <c r="A3" s="245">
        <v>1</v>
      </c>
      <c r="B3" s="55" t="s">
        <v>337</v>
      </c>
      <c r="C3" s="45">
        <v>618597.82999999996</v>
      </c>
      <c r="D3" s="45"/>
      <c r="E3" s="66"/>
      <c r="F3" s="65"/>
      <c r="G3" s="66"/>
      <c r="H3" s="252"/>
      <c r="I3" s="261" t="s">
        <v>392</v>
      </c>
      <c r="J3" s="71" t="s">
        <v>360</v>
      </c>
    </row>
    <row r="4" spans="1:10" s="108" customFormat="1" ht="173.25" x14ac:dyDescent="0.25">
      <c r="A4" s="100">
        <v>2</v>
      </c>
      <c r="B4" s="101" t="s">
        <v>336</v>
      </c>
      <c r="C4" s="267">
        <v>3523842.34</v>
      </c>
      <c r="D4" s="107"/>
      <c r="E4" s="103"/>
      <c r="F4" s="100"/>
      <c r="G4" s="103"/>
      <c r="H4" s="104"/>
      <c r="I4" s="100" t="s">
        <v>392</v>
      </c>
      <c r="J4" s="111" t="s">
        <v>359</v>
      </c>
    </row>
    <row r="5" spans="1:10" s="108" customFormat="1" ht="204.75" x14ac:dyDescent="0.25">
      <c r="A5" s="100">
        <v>3</v>
      </c>
      <c r="B5" s="109" t="s">
        <v>347</v>
      </c>
      <c r="C5" s="107">
        <v>1120134.03</v>
      </c>
      <c r="D5" s="110"/>
      <c r="E5" s="104"/>
      <c r="F5" s="104"/>
      <c r="G5" s="103"/>
      <c r="H5" s="104"/>
      <c r="I5" s="100" t="s">
        <v>207</v>
      </c>
      <c r="J5" s="111" t="s">
        <v>358</v>
      </c>
    </row>
    <row r="6" spans="1:10" s="108" customFormat="1" ht="126" x14ac:dyDescent="0.25">
      <c r="A6" s="100">
        <v>4</v>
      </c>
      <c r="B6" s="241" t="s">
        <v>354</v>
      </c>
      <c r="C6" s="110">
        <v>1945720.06</v>
      </c>
      <c r="D6" s="110"/>
      <c r="E6" s="104"/>
      <c r="F6" s="104"/>
      <c r="G6" s="242"/>
      <c r="H6" s="243"/>
      <c r="I6" s="100" t="s">
        <v>345</v>
      </c>
      <c r="J6" s="111" t="s">
        <v>357</v>
      </c>
    </row>
    <row r="7" spans="1:10" s="68" customFormat="1" ht="126" x14ac:dyDescent="0.25">
      <c r="A7" s="245">
        <v>5</v>
      </c>
      <c r="B7" s="57" t="s">
        <v>348</v>
      </c>
      <c r="C7" s="22">
        <v>2013747.76</v>
      </c>
      <c r="D7" s="58"/>
      <c r="E7" s="65"/>
      <c r="F7" s="65"/>
      <c r="G7" s="69"/>
      <c r="H7" s="65"/>
      <c r="I7" s="261" t="s">
        <v>392</v>
      </c>
      <c r="J7" s="71" t="s">
        <v>357</v>
      </c>
    </row>
    <row r="8" spans="1:10" s="68" customFormat="1" ht="189" x14ac:dyDescent="0.25">
      <c r="A8" s="245">
        <v>6</v>
      </c>
      <c r="B8" s="57" t="s">
        <v>396</v>
      </c>
      <c r="C8" s="22">
        <v>2928889.51</v>
      </c>
      <c r="D8" s="58"/>
      <c r="E8" s="65"/>
      <c r="F8" s="65"/>
      <c r="G8" s="69"/>
      <c r="H8" s="65"/>
      <c r="I8" s="261" t="s">
        <v>392</v>
      </c>
      <c r="J8" s="71" t="s">
        <v>343</v>
      </c>
    </row>
    <row r="9" spans="1:10" s="108" customFormat="1" ht="126" x14ac:dyDescent="0.25">
      <c r="A9" s="100">
        <v>7</v>
      </c>
      <c r="B9" s="109" t="s">
        <v>252</v>
      </c>
      <c r="C9" s="110">
        <v>934009.26</v>
      </c>
      <c r="D9" s="244"/>
      <c r="E9" s="104"/>
      <c r="F9" s="104"/>
      <c r="G9" s="242"/>
      <c r="H9" s="104"/>
      <c r="I9" s="100" t="s">
        <v>345</v>
      </c>
      <c r="J9" s="111" t="s">
        <v>344</v>
      </c>
    </row>
    <row r="10" spans="1:10" s="108" customFormat="1" ht="126" x14ac:dyDescent="0.25">
      <c r="A10" s="100">
        <v>8</v>
      </c>
      <c r="B10" s="101" t="s">
        <v>123</v>
      </c>
      <c r="C10" s="110">
        <v>565659.56000000006</v>
      </c>
      <c r="D10" s="110"/>
      <c r="E10" s="103"/>
      <c r="F10" s="104"/>
      <c r="G10" s="242"/>
      <c r="H10" s="243"/>
      <c r="I10" s="100" t="s">
        <v>392</v>
      </c>
      <c r="J10" s="111" t="s">
        <v>373</v>
      </c>
    </row>
    <row r="11" spans="1:10" s="68" customFormat="1" ht="126" x14ac:dyDescent="0.25">
      <c r="A11" s="245">
        <v>9</v>
      </c>
      <c r="B11" s="57" t="s">
        <v>339</v>
      </c>
      <c r="C11" s="22">
        <v>806825.66</v>
      </c>
      <c r="D11" s="22"/>
      <c r="E11" s="65"/>
      <c r="F11" s="65"/>
      <c r="G11" s="66"/>
      <c r="H11" s="65"/>
      <c r="I11" s="261" t="s">
        <v>392</v>
      </c>
      <c r="J11" s="71" t="s">
        <v>373</v>
      </c>
    </row>
    <row r="12" spans="1:10" s="68" customFormat="1" ht="126" x14ac:dyDescent="0.25">
      <c r="A12" s="239">
        <v>10</v>
      </c>
      <c r="B12" s="240" t="s">
        <v>340</v>
      </c>
      <c r="C12" s="22">
        <v>6007874.5300000003</v>
      </c>
      <c r="D12" s="22"/>
      <c r="E12" s="65"/>
      <c r="F12" s="65"/>
      <c r="G12" s="69"/>
      <c r="H12" s="70"/>
      <c r="I12" s="261" t="s">
        <v>392</v>
      </c>
      <c r="J12" s="71" t="s">
        <v>356</v>
      </c>
    </row>
    <row r="13" spans="1:10" s="68" customFormat="1" ht="126" x14ac:dyDescent="0.25">
      <c r="A13" s="239">
        <v>11</v>
      </c>
      <c r="B13" s="57" t="s">
        <v>341</v>
      </c>
      <c r="C13" s="22">
        <v>2997189.87</v>
      </c>
      <c r="D13" s="58"/>
      <c r="E13" s="65"/>
      <c r="F13" s="65"/>
      <c r="G13" s="69"/>
      <c r="H13" s="65"/>
      <c r="I13" s="261" t="s">
        <v>392</v>
      </c>
      <c r="J13" s="71" t="s">
        <v>355</v>
      </c>
    </row>
    <row r="14" spans="1:10" s="68" customFormat="1" ht="126" x14ac:dyDescent="0.25">
      <c r="A14" s="239">
        <v>12</v>
      </c>
      <c r="B14" s="57" t="s">
        <v>342</v>
      </c>
      <c r="C14" s="22">
        <v>1200000</v>
      </c>
      <c r="D14" s="58"/>
      <c r="E14" s="65"/>
      <c r="F14" s="65"/>
      <c r="G14" s="69"/>
      <c r="H14" s="65"/>
      <c r="I14" s="261" t="s">
        <v>393</v>
      </c>
      <c r="J14" s="71" t="s">
        <v>373</v>
      </c>
    </row>
    <row r="15" spans="1:10" s="68" customFormat="1" ht="126" x14ac:dyDescent="0.25">
      <c r="A15" s="266">
        <v>13</v>
      </c>
      <c r="B15" s="55" t="s">
        <v>388</v>
      </c>
      <c r="C15" s="22">
        <v>816606.48</v>
      </c>
      <c r="D15" s="58"/>
      <c r="E15" s="65"/>
      <c r="F15" s="65"/>
      <c r="G15" s="69"/>
      <c r="H15" s="65"/>
      <c r="I15" s="266" t="s">
        <v>392</v>
      </c>
      <c r="J15" s="71" t="s">
        <v>373</v>
      </c>
    </row>
    <row r="16" spans="1:10" s="68" customFormat="1" ht="126" x14ac:dyDescent="0.25">
      <c r="A16" s="245">
        <v>14</v>
      </c>
      <c r="B16" s="55"/>
      <c r="C16" s="22"/>
      <c r="D16" s="58"/>
      <c r="E16" s="65"/>
      <c r="F16" s="65"/>
      <c r="G16" s="69"/>
      <c r="H16" s="65"/>
      <c r="I16" s="261" t="s">
        <v>392</v>
      </c>
      <c r="J16" s="71" t="s">
        <v>373</v>
      </c>
    </row>
    <row r="17" spans="1:8" s="68" customFormat="1" ht="15.75" x14ac:dyDescent="0.25">
      <c r="A17" s="86"/>
      <c r="B17" s="87"/>
      <c r="C17" s="251">
        <f>SUM(C3:C16)</f>
        <v>25479096.890000001</v>
      </c>
      <c r="D17" s="251">
        <f>SUM(D3:D16)</f>
        <v>0</v>
      </c>
      <c r="E17" s="73"/>
      <c r="G17" s="96"/>
      <c r="H17" s="96"/>
    </row>
    <row r="18" spans="1:8" s="68" customFormat="1" ht="15.75" x14ac:dyDescent="0.25">
      <c r="A18" s="86"/>
      <c r="B18" s="91" t="s">
        <v>92</v>
      </c>
      <c r="C18" s="77"/>
      <c r="D18" s="77">
        <v>29067500</v>
      </c>
      <c r="E18" s="73"/>
      <c r="G18" s="96"/>
      <c r="H18" s="96"/>
    </row>
    <row r="19" spans="1:8" s="68" customFormat="1" ht="15.75" x14ac:dyDescent="0.25">
      <c r="B19" s="208" t="s">
        <v>283</v>
      </c>
      <c r="C19" s="98"/>
      <c r="D19" s="98"/>
      <c r="E19" s="73"/>
      <c r="G19" s="96"/>
      <c r="H19" s="96"/>
    </row>
    <row r="20" spans="1:8" s="68" customFormat="1" ht="15.75" x14ac:dyDescent="0.25">
      <c r="A20" s="93"/>
      <c r="B20" s="296" t="s">
        <v>394</v>
      </c>
      <c r="C20" s="297"/>
      <c r="D20" s="297"/>
      <c r="E20" s="297"/>
      <c r="F20" s="93"/>
      <c r="G20" s="93"/>
    </row>
    <row r="21" spans="1:8" s="68" customFormat="1" ht="15.75" x14ac:dyDescent="0.25">
      <c r="A21" s="93"/>
      <c r="B21" s="93"/>
      <c r="C21" s="272"/>
      <c r="D21" s="272"/>
      <c r="E21" s="272"/>
      <c r="F21" s="93"/>
      <c r="G21" s="93"/>
    </row>
    <row r="22" spans="1:8" s="68" customFormat="1" ht="15.75" x14ac:dyDescent="0.25">
      <c r="A22" s="93"/>
      <c r="B22" s="296" t="s">
        <v>395</v>
      </c>
      <c r="C22" s="297"/>
      <c r="D22" s="297"/>
      <c r="E22" s="297"/>
      <c r="F22" s="93"/>
      <c r="G22" s="93"/>
    </row>
    <row r="23" spans="1:8" s="76" customFormat="1" ht="15.75" x14ac:dyDescent="0.25">
      <c r="A23" s="4"/>
      <c r="B23" s="93" t="s">
        <v>4</v>
      </c>
      <c r="C23" s="93"/>
      <c r="D23" s="93"/>
      <c r="E23" s="93"/>
      <c r="F23" s="4"/>
      <c r="G23" s="4"/>
    </row>
    <row r="24" spans="1:8" s="76" customFormat="1" ht="15.75" x14ac:dyDescent="0.25">
      <c r="A24" s="4"/>
      <c r="B24" s="4"/>
      <c r="C24" s="4"/>
      <c r="D24" s="4"/>
      <c r="E24" s="4"/>
      <c r="F24" s="4"/>
      <c r="G24" s="4"/>
    </row>
  </sheetData>
  <mergeCells count="3">
    <mergeCell ref="A1:J1"/>
    <mergeCell ref="B20:E20"/>
    <mergeCell ref="B22:E22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9B08-5797-4F53-9FD2-072B4C473C06}">
  <dimension ref="A1:J31"/>
  <sheetViews>
    <sheetView topLeftCell="A21" workbookViewId="0">
      <selection activeCell="I30" sqref="I30"/>
    </sheetView>
  </sheetViews>
  <sheetFormatPr defaultRowHeight="15" x14ac:dyDescent="0.25"/>
  <cols>
    <col min="1" max="1" width="6.5703125" customWidth="1"/>
    <col min="2" max="2" width="35.7109375" customWidth="1"/>
    <col min="3" max="3" width="14.5703125" customWidth="1"/>
    <col min="4" max="4" width="14.140625" customWidth="1"/>
    <col min="5" max="5" width="13" customWidth="1"/>
    <col min="6" max="6" width="27.28515625" customWidth="1"/>
    <col min="7" max="7" width="13.7109375" customWidth="1"/>
    <col min="8" max="9" width="17.28515625" customWidth="1"/>
    <col min="10" max="10" width="24" customWidth="1"/>
  </cols>
  <sheetData>
    <row r="1" spans="1:10" s="49" customFormat="1" ht="32.25" customHeight="1" x14ac:dyDescent="0.25">
      <c r="A1" s="279" t="s">
        <v>404</v>
      </c>
      <c r="B1" s="280"/>
      <c r="C1" s="280"/>
      <c r="D1" s="277"/>
      <c r="E1" s="277"/>
      <c r="F1" s="277"/>
      <c r="G1" s="277"/>
      <c r="H1" s="277"/>
      <c r="I1" s="277"/>
      <c r="J1" s="278"/>
    </row>
    <row r="2" spans="1:10" s="73" customFormat="1" ht="63" x14ac:dyDescent="0.25">
      <c r="A2" s="184" t="s">
        <v>1</v>
      </c>
      <c r="B2" s="184" t="s">
        <v>0</v>
      </c>
      <c r="C2" s="185" t="s">
        <v>366</v>
      </c>
      <c r="D2" s="185" t="s">
        <v>21</v>
      </c>
      <c r="E2" s="184" t="s">
        <v>203</v>
      </c>
      <c r="F2" s="65" t="s">
        <v>16</v>
      </c>
      <c r="G2" s="184" t="s">
        <v>17</v>
      </c>
      <c r="H2" s="65" t="s">
        <v>18</v>
      </c>
      <c r="I2" s="65" t="s">
        <v>67</v>
      </c>
      <c r="J2" s="65" t="s">
        <v>36</v>
      </c>
    </row>
    <row r="3" spans="1:10" s="31" customFormat="1" ht="110.25" x14ac:dyDescent="0.25">
      <c r="A3" s="248">
        <v>1</v>
      </c>
      <c r="B3" s="7" t="s">
        <v>406</v>
      </c>
      <c r="C3" s="11">
        <v>2419708.21</v>
      </c>
      <c r="D3" s="249"/>
      <c r="E3" s="248"/>
      <c r="F3" s="14"/>
      <c r="G3" s="15"/>
      <c r="H3" s="14"/>
      <c r="I3" s="246" t="s">
        <v>374</v>
      </c>
      <c r="J3" s="248" t="s">
        <v>383</v>
      </c>
    </row>
    <row r="4" spans="1:10" s="31" customFormat="1" ht="110.25" x14ac:dyDescent="0.25">
      <c r="A4" s="248">
        <v>2</v>
      </c>
      <c r="B4" s="7" t="s">
        <v>399</v>
      </c>
      <c r="C4" s="11">
        <v>2790507.11</v>
      </c>
      <c r="D4" s="249"/>
      <c r="E4" s="248"/>
      <c r="F4" s="14"/>
      <c r="G4" s="15"/>
      <c r="H4" s="14"/>
      <c r="I4" s="246" t="s">
        <v>374</v>
      </c>
      <c r="J4" s="248" t="s">
        <v>383</v>
      </c>
    </row>
    <row r="5" spans="1:10" s="68" customFormat="1" ht="94.5" x14ac:dyDescent="0.25">
      <c r="A5" s="245">
        <v>3</v>
      </c>
      <c r="B5" s="57" t="s">
        <v>289</v>
      </c>
      <c r="C5" s="273">
        <v>2571983.65</v>
      </c>
      <c r="D5" s="22"/>
      <c r="E5" s="65"/>
      <c r="F5" s="65"/>
      <c r="G5" s="69"/>
      <c r="H5" s="70"/>
      <c r="I5" s="246" t="s">
        <v>290</v>
      </c>
      <c r="J5" s="211" t="s">
        <v>377</v>
      </c>
    </row>
    <row r="6" spans="1:10" s="68" customFormat="1" ht="126" x14ac:dyDescent="0.25">
      <c r="A6" s="245">
        <v>4</v>
      </c>
      <c r="B6" s="57" t="s">
        <v>309</v>
      </c>
      <c r="C6" s="22">
        <v>7740275.1600000001</v>
      </c>
      <c r="D6" s="22"/>
      <c r="E6" s="65"/>
      <c r="F6" s="65"/>
      <c r="G6" s="66"/>
      <c r="H6" s="65"/>
      <c r="I6" s="245" t="s">
        <v>290</v>
      </c>
      <c r="J6" s="71" t="s">
        <v>381</v>
      </c>
    </row>
    <row r="7" spans="1:10" s="73" customFormat="1" ht="110.25" x14ac:dyDescent="0.25">
      <c r="A7" s="184">
        <v>5</v>
      </c>
      <c r="B7" s="55" t="s">
        <v>398</v>
      </c>
      <c r="C7" s="45">
        <v>226000</v>
      </c>
      <c r="D7" s="45"/>
      <c r="E7" s="65"/>
      <c r="F7" s="65"/>
      <c r="G7" s="66"/>
      <c r="H7" s="65"/>
      <c r="I7" s="217" t="s">
        <v>374</v>
      </c>
      <c r="J7" s="246" t="s">
        <v>382</v>
      </c>
    </row>
    <row r="8" spans="1:10" s="73" customFormat="1" ht="110.25" x14ac:dyDescent="0.25">
      <c r="A8" s="184">
        <v>6</v>
      </c>
      <c r="B8" s="55" t="s">
        <v>397</v>
      </c>
      <c r="C8" s="45">
        <v>141105.46</v>
      </c>
      <c r="D8" s="45"/>
      <c r="E8" s="65"/>
      <c r="F8" s="65"/>
      <c r="G8" s="66"/>
      <c r="H8" s="65"/>
      <c r="I8" s="246" t="s">
        <v>374</v>
      </c>
      <c r="J8" s="246" t="s">
        <v>382</v>
      </c>
    </row>
    <row r="9" spans="1:10" s="68" customFormat="1" ht="173.25" x14ac:dyDescent="0.25">
      <c r="A9" s="184">
        <v>7</v>
      </c>
      <c r="B9" s="7" t="s">
        <v>400</v>
      </c>
      <c r="C9" s="22">
        <v>2029164.45</v>
      </c>
      <c r="D9" s="58"/>
      <c r="E9" s="65"/>
      <c r="F9" s="65"/>
      <c r="G9" s="69"/>
      <c r="H9" s="65"/>
      <c r="I9" s="246" t="s">
        <v>290</v>
      </c>
      <c r="J9" s="264" t="s">
        <v>386</v>
      </c>
    </row>
    <row r="10" spans="1:10" s="68" customFormat="1" ht="94.5" x14ac:dyDescent="0.25">
      <c r="A10" s="217">
        <v>8</v>
      </c>
      <c r="B10" s="57" t="s">
        <v>308</v>
      </c>
      <c r="C10" s="22">
        <v>305030.21000000002</v>
      </c>
      <c r="D10" s="22"/>
      <c r="E10" s="65"/>
      <c r="F10" s="65"/>
      <c r="G10" s="66"/>
      <c r="H10" s="65"/>
      <c r="I10" s="217" t="s">
        <v>290</v>
      </c>
      <c r="J10" s="248" t="s">
        <v>383</v>
      </c>
    </row>
    <row r="11" spans="1:10" s="68" customFormat="1" ht="94.5" x14ac:dyDescent="0.25">
      <c r="A11" s="217">
        <v>9</v>
      </c>
      <c r="B11" s="57" t="s">
        <v>310</v>
      </c>
      <c r="C11" s="22">
        <v>1136250.79</v>
      </c>
      <c r="D11" s="22"/>
      <c r="E11" s="65"/>
      <c r="F11" s="65"/>
      <c r="G11" s="66"/>
      <c r="H11" s="65"/>
      <c r="I11" s="217" t="s">
        <v>290</v>
      </c>
      <c r="J11" s="246" t="s">
        <v>371</v>
      </c>
    </row>
    <row r="12" spans="1:10" s="68" customFormat="1" ht="94.5" x14ac:dyDescent="0.25">
      <c r="A12" s="246">
        <v>10</v>
      </c>
      <c r="B12" s="57" t="s">
        <v>378</v>
      </c>
      <c r="C12" s="22">
        <v>511881.74</v>
      </c>
      <c r="D12" s="22"/>
      <c r="E12" s="65"/>
      <c r="F12" s="65"/>
      <c r="G12" s="66"/>
      <c r="H12" s="65"/>
      <c r="I12" s="246" t="s">
        <v>290</v>
      </c>
      <c r="J12" s="246" t="s">
        <v>376</v>
      </c>
    </row>
    <row r="13" spans="1:10" s="73" customFormat="1" ht="94.5" x14ac:dyDescent="0.25">
      <c r="A13" s="246">
        <v>11</v>
      </c>
      <c r="B13" s="57" t="s">
        <v>391</v>
      </c>
      <c r="C13" s="22">
        <v>639915.05000000005</v>
      </c>
      <c r="D13" s="247"/>
      <c r="E13" s="246"/>
      <c r="F13" s="65"/>
      <c r="G13" s="246"/>
      <c r="H13" s="65"/>
      <c r="I13" s="246" t="s">
        <v>290</v>
      </c>
      <c r="J13" s="260"/>
    </row>
    <row r="14" spans="1:10" s="68" customFormat="1" ht="78.75" x14ac:dyDescent="0.25">
      <c r="A14" s="268">
        <v>12</v>
      </c>
      <c r="B14" s="57" t="s">
        <v>380</v>
      </c>
      <c r="C14" s="22">
        <v>5428927.21</v>
      </c>
      <c r="D14" s="22"/>
      <c r="E14" s="65"/>
      <c r="F14" s="65"/>
      <c r="G14" s="66"/>
      <c r="H14" s="65"/>
      <c r="I14" s="268" t="s">
        <v>291</v>
      </c>
      <c r="J14" s="268" t="s">
        <v>372</v>
      </c>
    </row>
    <row r="15" spans="1:10" s="68" customFormat="1" ht="94.5" x14ac:dyDescent="0.25">
      <c r="A15" s="268">
        <v>13</v>
      </c>
      <c r="B15" s="55" t="s">
        <v>338</v>
      </c>
      <c r="C15" s="22">
        <v>1047413.6</v>
      </c>
      <c r="D15" s="22"/>
      <c r="E15" s="65"/>
      <c r="F15" s="65"/>
      <c r="G15" s="69"/>
      <c r="H15" s="70"/>
      <c r="I15" s="268" t="s">
        <v>392</v>
      </c>
      <c r="J15" s="71" t="s">
        <v>373</v>
      </c>
    </row>
    <row r="16" spans="1:10" s="68" customFormat="1" ht="79.5" thickBot="1" x14ac:dyDescent="0.3">
      <c r="A16" s="245">
        <v>14</v>
      </c>
      <c r="B16" s="57" t="s">
        <v>401</v>
      </c>
      <c r="C16" s="22">
        <v>5139028.84</v>
      </c>
      <c r="D16" s="59"/>
      <c r="E16" s="65"/>
      <c r="F16" s="65"/>
      <c r="G16" s="69"/>
      <c r="H16" s="72"/>
      <c r="I16" s="268" t="s">
        <v>291</v>
      </c>
      <c r="J16" s="268" t="s">
        <v>372</v>
      </c>
    </row>
    <row r="17" spans="1:10" s="73" customFormat="1" ht="78.75" x14ac:dyDescent="0.25">
      <c r="A17" s="268">
        <v>15</v>
      </c>
      <c r="B17" s="57" t="s">
        <v>369</v>
      </c>
      <c r="C17" s="45"/>
      <c r="D17" s="269"/>
      <c r="E17" s="268"/>
      <c r="F17" s="65"/>
      <c r="G17" s="268"/>
      <c r="H17" s="65"/>
      <c r="I17" s="268" t="s">
        <v>291</v>
      </c>
      <c r="J17" s="268" t="s">
        <v>372</v>
      </c>
    </row>
    <row r="18" spans="1:10" s="73" customFormat="1" ht="78.75" x14ac:dyDescent="0.25">
      <c r="A18" s="268">
        <v>16</v>
      </c>
      <c r="B18" s="57" t="s">
        <v>402</v>
      </c>
      <c r="C18" s="45"/>
      <c r="D18" s="269"/>
      <c r="E18" s="268"/>
      <c r="F18" s="65"/>
      <c r="G18" s="268"/>
      <c r="H18" s="65"/>
      <c r="I18" s="268" t="s">
        <v>291</v>
      </c>
      <c r="J18" s="268" t="s">
        <v>372</v>
      </c>
    </row>
    <row r="19" spans="1:10" s="73" customFormat="1" ht="78.75" x14ac:dyDescent="0.25">
      <c r="A19" s="268">
        <v>17</v>
      </c>
      <c r="B19" s="57" t="s">
        <v>379</v>
      </c>
      <c r="C19" s="45"/>
      <c r="D19" s="269"/>
      <c r="E19" s="268"/>
      <c r="F19" s="65"/>
      <c r="G19" s="268"/>
      <c r="H19" s="65"/>
      <c r="I19" s="268" t="s">
        <v>291</v>
      </c>
      <c r="J19" s="268" t="s">
        <v>372</v>
      </c>
    </row>
    <row r="20" spans="1:10" s="73" customFormat="1" ht="78.75" x14ac:dyDescent="0.25">
      <c r="A20" s="268">
        <v>18</v>
      </c>
      <c r="B20" s="57" t="s">
        <v>370</v>
      </c>
      <c r="C20" s="45"/>
      <c r="D20" s="269"/>
      <c r="E20" s="268"/>
      <c r="F20" s="65"/>
      <c r="G20" s="268"/>
      <c r="H20" s="65"/>
      <c r="I20" s="268" t="s">
        <v>291</v>
      </c>
      <c r="J20" s="268" t="s">
        <v>372</v>
      </c>
    </row>
    <row r="21" spans="1:10" s="73" customFormat="1" ht="78.75" x14ac:dyDescent="0.25">
      <c r="A21" s="268">
        <v>19</v>
      </c>
      <c r="B21" s="57" t="s">
        <v>367</v>
      </c>
      <c r="C21" s="45"/>
      <c r="D21" s="269"/>
      <c r="E21" s="268"/>
      <c r="F21" s="65"/>
      <c r="G21" s="268"/>
      <c r="H21" s="65"/>
      <c r="I21" s="268" t="s">
        <v>291</v>
      </c>
      <c r="J21" s="268" t="s">
        <v>372</v>
      </c>
    </row>
    <row r="22" spans="1:10" s="73" customFormat="1" ht="78.75" x14ac:dyDescent="0.25">
      <c r="A22" s="268">
        <v>20</v>
      </c>
      <c r="B22" s="57" t="s">
        <v>368</v>
      </c>
      <c r="C22" s="45"/>
      <c r="D22" s="269"/>
      <c r="E22" s="268"/>
      <c r="F22" s="65"/>
      <c r="G22" s="268"/>
      <c r="H22" s="65"/>
      <c r="I22" s="268" t="s">
        <v>291</v>
      </c>
      <c r="J22" s="268" t="s">
        <v>372</v>
      </c>
    </row>
    <row r="23" spans="1:10" s="73" customFormat="1" ht="47.25" x14ac:dyDescent="0.25">
      <c r="A23" s="268">
        <v>21</v>
      </c>
      <c r="B23" s="57" t="s">
        <v>165</v>
      </c>
      <c r="C23" s="45">
        <v>2300000</v>
      </c>
      <c r="D23" s="45"/>
      <c r="E23" s="65"/>
      <c r="F23" s="65"/>
      <c r="G23" s="66"/>
      <c r="H23" s="65"/>
      <c r="I23" s="268" t="s">
        <v>311</v>
      </c>
      <c r="J23" s="74"/>
    </row>
    <row r="24" spans="1:10" s="73" customFormat="1" ht="47.25" x14ac:dyDescent="0.25">
      <c r="A24" s="268">
        <v>22</v>
      </c>
      <c r="B24" s="57" t="s">
        <v>365</v>
      </c>
      <c r="C24" s="273">
        <v>1500000</v>
      </c>
      <c r="D24" s="45"/>
      <c r="E24" s="65"/>
      <c r="F24" s="65"/>
      <c r="G24" s="66"/>
      <c r="H24" s="65"/>
      <c r="I24" s="268" t="s">
        <v>311</v>
      </c>
      <c r="J24" s="67" t="s">
        <v>113</v>
      </c>
    </row>
    <row r="25" spans="1:10" s="68" customFormat="1" ht="47.25" x14ac:dyDescent="0.25">
      <c r="A25" s="268">
        <v>23</v>
      </c>
      <c r="B25" s="57" t="s">
        <v>364</v>
      </c>
      <c r="C25" s="273">
        <v>1500000</v>
      </c>
      <c r="D25" s="22"/>
      <c r="E25" s="65"/>
      <c r="F25" s="65"/>
      <c r="G25" s="69"/>
      <c r="H25" s="70"/>
      <c r="I25" s="268" t="s">
        <v>311</v>
      </c>
      <c r="J25" s="67" t="s">
        <v>113</v>
      </c>
    </row>
    <row r="26" spans="1:10" s="68" customFormat="1" ht="63.75" thickBot="1" x14ac:dyDescent="0.3">
      <c r="A26" s="268">
        <v>24</v>
      </c>
      <c r="B26" s="57" t="s">
        <v>363</v>
      </c>
      <c r="C26" s="22">
        <v>2500000</v>
      </c>
      <c r="D26" s="59"/>
      <c r="E26" s="65"/>
      <c r="F26" s="65"/>
      <c r="G26" s="69"/>
      <c r="H26" s="72"/>
      <c r="I26" s="268" t="s">
        <v>311</v>
      </c>
      <c r="J26" s="67" t="s">
        <v>105</v>
      </c>
    </row>
    <row r="27" spans="1:10" s="68" customFormat="1" ht="63" x14ac:dyDescent="0.25">
      <c r="A27" s="268">
        <v>25</v>
      </c>
      <c r="B27" s="57" t="s">
        <v>153</v>
      </c>
      <c r="C27" s="22">
        <v>1200000</v>
      </c>
      <c r="D27" s="22"/>
      <c r="E27" s="65"/>
      <c r="F27" s="65"/>
      <c r="G27" s="66"/>
      <c r="H27" s="65"/>
      <c r="I27" s="268" t="s">
        <v>384</v>
      </c>
      <c r="J27" s="268" t="s">
        <v>116</v>
      </c>
    </row>
    <row r="28" spans="1:10" s="68" customFormat="1" ht="94.5" x14ac:dyDescent="0.25">
      <c r="A28" s="246">
        <v>26</v>
      </c>
      <c r="B28" s="57" t="s">
        <v>150</v>
      </c>
      <c r="C28" s="274">
        <v>263102.40999999997</v>
      </c>
      <c r="D28" s="22"/>
      <c r="E28" s="65"/>
      <c r="F28" s="65"/>
      <c r="G28" s="69"/>
      <c r="H28" s="70"/>
      <c r="I28" s="246" t="s">
        <v>375</v>
      </c>
      <c r="J28" s="80" t="s">
        <v>376</v>
      </c>
    </row>
    <row r="29" spans="1:10" s="68" customFormat="1" ht="15.75" x14ac:dyDescent="0.25">
      <c r="A29" s="86"/>
      <c r="B29" s="87"/>
      <c r="C29" s="251">
        <f>SUM(C5:C28)</f>
        <v>36180078.57</v>
      </c>
      <c r="D29" s="251">
        <f>SUM(D7:D28)</f>
        <v>0</v>
      </c>
      <c r="E29" s="73"/>
      <c r="G29" s="96"/>
      <c r="H29" s="96"/>
    </row>
    <row r="30" spans="1:10" s="68" customFormat="1" ht="15.75" x14ac:dyDescent="0.25">
      <c r="A30" s="86"/>
      <c r="B30" s="91" t="s">
        <v>92</v>
      </c>
      <c r="C30" s="77"/>
      <c r="D30" s="77"/>
      <c r="E30" s="73"/>
      <c r="G30" s="96"/>
      <c r="H30" s="96"/>
    </row>
    <row r="31" spans="1:10" s="68" customFormat="1" ht="15.75" x14ac:dyDescent="0.25">
      <c r="B31" s="208" t="s">
        <v>283</v>
      </c>
      <c r="C31" s="98"/>
      <c r="D31" s="98"/>
      <c r="E31" s="73"/>
      <c r="G31" s="96"/>
      <c r="H31" s="96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1FDA-5ABE-4E75-B6E9-76B10843DED5}">
  <dimension ref="A1:J31"/>
  <sheetViews>
    <sheetView tabSelected="1" workbookViewId="0">
      <selection activeCell="B3" sqref="B3"/>
    </sheetView>
  </sheetViews>
  <sheetFormatPr defaultRowHeight="15" x14ac:dyDescent="0.25"/>
  <cols>
    <col min="1" max="1" width="6.5703125" customWidth="1"/>
    <col min="2" max="2" width="74.28515625" customWidth="1"/>
    <col min="3" max="3" width="18.5703125" customWidth="1"/>
    <col min="4" max="4" width="12.42578125" customWidth="1"/>
    <col min="5" max="5" width="19.28515625" customWidth="1"/>
    <col min="6" max="6" width="11.85546875" customWidth="1"/>
    <col min="7" max="7" width="15" customWidth="1"/>
    <col min="8" max="8" width="18.5703125" customWidth="1"/>
    <col min="9" max="9" width="17.140625" customWidth="1"/>
    <col min="10" max="10" width="18.140625" customWidth="1"/>
  </cols>
  <sheetData>
    <row r="1" spans="1:10" ht="32.25" customHeight="1" x14ac:dyDescent="0.25">
      <c r="A1" s="307" t="s">
        <v>387</v>
      </c>
      <c r="B1" s="307"/>
      <c r="C1" s="307"/>
      <c r="D1" s="306"/>
      <c r="E1" s="306"/>
      <c r="F1" s="306"/>
      <c r="G1" s="306"/>
      <c r="H1" s="306"/>
      <c r="I1" s="306"/>
      <c r="J1" s="306"/>
    </row>
    <row r="2" spans="1:10" ht="30" customHeight="1" x14ac:dyDescent="0.25">
      <c r="A2" s="24" t="s">
        <v>1</v>
      </c>
      <c r="B2" s="5" t="s">
        <v>0</v>
      </c>
      <c r="C2" s="25" t="s">
        <v>20</v>
      </c>
      <c r="D2" s="25" t="s">
        <v>21</v>
      </c>
      <c r="E2" s="24" t="s">
        <v>203</v>
      </c>
      <c r="F2" s="14" t="s">
        <v>16</v>
      </c>
      <c r="G2" s="15" t="s">
        <v>17</v>
      </c>
      <c r="H2" s="14" t="s">
        <v>18</v>
      </c>
      <c r="I2" s="21" t="s">
        <v>67</v>
      </c>
      <c r="J2" s="21" t="s">
        <v>36</v>
      </c>
    </row>
    <row r="3" spans="1:10" s="31" customFormat="1" ht="30" customHeight="1" x14ac:dyDescent="0.25">
      <c r="A3" s="50">
        <v>2</v>
      </c>
      <c r="B3" s="7" t="s">
        <v>407</v>
      </c>
      <c r="C3" s="64">
        <v>2000000</v>
      </c>
      <c r="D3" s="51"/>
      <c r="E3" s="248"/>
      <c r="F3" s="14"/>
      <c r="G3" s="15"/>
      <c r="H3" s="14"/>
      <c r="I3" s="14"/>
      <c r="J3" s="14"/>
    </row>
    <row r="4" spans="1:10" s="31" customFormat="1" ht="30" customHeight="1" x14ac:dyDescent="0.25">
      <c r="A4" s="50">
        <v>3</v>
      </c>
      <c r="B4" s="7" t="s">
        <v>159</v>
      </c>
      <c r="C4" s="64">
        <v>600000</v>
      </c>
      <c r="D4" s="51"/>
      <c r="E4" s="248"/>
      <c r="F4" s="14"/>
      <c r="G4" s="15"/>
      <c r="H4" s="14"/>
      <c r="I4" s="14"/>
      <c r="J4" s="14"/>
    </row>
    <row r="5" spans="1:10" ht="31.5" x14ac:dyDescent="0.25">
      <c r="A5" s="24">
        <v>4</v>
      </c>
      <c r="B5" s="6" t="s">
        <v>160</v>
      </c>
      <c r="C5" s="64">
        <v>500000</v>
      </c>
      <c r="D5" s="17"/>
      <c r="E5" s="14"/>
      <c r="F5" s="262"/>
      <c r="G5" s="263"/>
      <c r="H5" s="263"/>
      <c r="I5" s="14"/>
      <c r="J5" s="262"/>
    </row>
    <row r="6" spans="1:10" s="31" customFormat="1" ht="15.75" x14ac:dyDescent="0.25">
      <c r="A6" s="32">
        <v>6</v>
      </c>
      <c r="B6" s="6" t="s">
        <v>161</v>
      </c>
      <c r="C6" s="64">
        <v>800000</v>
      </c>
      <c r="D6" s="35"/>
      <c r="E6" s="14"/>
      <c r="F6" s="262"/>
      <c r="G6" s="263"/>
      <c r="H6" s="263"/>
      <c r="I6" s="14"/>
      <c r="J6" s="262"/>
    </row>
    <row r="7" spans="1:10" s="31" customFormat="1" ht="15.75" x14ac:dyDescent="0.25">
      <c r="A7" s="50">
        <v>7</v>
      </c>
      <c r="B7" s="6" t="s">
        <v>162</v>
      </c>
      <c r="C7" s="64">
        <v>600000</v>
      </c>
      <c r="D7" s="35"/>
      <c r="E7" s="14"/>
      <c r="F7" s="262"/>
      <c r="G7" s="263"/>
      <c r="H7" s="263"/>
      <c r="I7" s="14"/>
      <c r="J7" s="262"/>
    </row>
    <row r="8" spans="1:10" s="31" customFormat="1" ht="15.75" x14ac:dyDescent="0.25">
      <c r="A8" s="50">
        <v>8</v>
      </c>
      <c r="B8" s="6" t="s">
        <v>163</v>
      </c>
      <c r="C8" s="64">
        <v>600000</v>
      </c>
      <c r="D8" s="35"/>
      <c r="E8" s="14"/>
      <c r="F8" s="262"/>
      <c r="G8" s="263"/>
      <c r="H8" s="263"/>
      <c r="I8" s="14"/>
      <c r="J8" s="262"/>
    </row>
    <row r="9" spans="1:10" s="31" customFormat="1" ht="15.75" x14ac:dyDescent="0.25">
      <c r="A9" s="50">
        <v>9</v>
      </c>
      <c r="B9" s="6" t="s">
        <v>164</v>
      </c>
      <c r="C9" s="64">
        <v>600000</v>
      </c>
      <c r="D9" s="35"/>
      <c r="E9" s="14"/>
      <c r="F9" s="262"/>
      <c r="G9" s="263"/>
      <c r="H9" s="263"/>
      <c r="I9" s="14"/>
      <c r="J9" s="262"/>
    </row>
    <row r="10" spans="1:10" s="31" customFormat="1" ht="31.5" x14ac:dyDescent="0.25">
      <c r="A10" s="61">
        <v>10</v>
      </c>
      <c r="B10" s="6" t="s">
        <v>166</v>
      </c>
      <c r="C10" s="53">
        <v>1500000</v>
      </c>
      <c r="D10" s="35"/>
      <c r="E10" s="14"/>
      <c r="F10" s="262"/>
      <c r="G10" s="263"/>
      <c r="H10" s="263"/>
      <c r="I10" s="14"/>
      <c r="J10" s="262"/>
    </row>
    <row r="11" spans="1:10" s="49" customFormat="1" ht="31.5" x14ac:dyDescent="0.25">
      <c r="A11" s="43">
        <v>11</v>
      </c>
      <c r="B11" s="6" t="s">
        <v>167</v>
      </c>
      <c r="C11" s="53">
        <v>1200000</v>
      </c>
      <c r="D11" s="22"/>
      <c r="E11" s="246"/>
      <c r="F11" s="246"/>
      <c r="G11" s="69"/>
      <c r="H11" s="70"/>
      <c r="I11" s="65"/>
      <c r="J11" s="246" t="s">
        <v>186</v>
      </c>
    </row>
    <row r="12" spans="1:10" s="49" customFormat="1" ht="31.5" x14ac:dyDescent="0.25">
      <c r="A12" s="43">
        <v>12</v>
      </c>
      <c r="B12" s="55" t="s">
        <v>33</v>
      </c>
      <c r="C12" s="53">
        <v>500000</v>
      </c>
      <c r="D12" s="22"/>
      <c r="E12" s="246"/>
      <c r="F12" s="65"/>
      <c r="G12" s="69"/>
      <c r="H12" s="70"/>
      <c r="I12" s="65"/>
      <c r="J12" s="246" t="s">
        <v>87</v>
      </c>
    </row>
    <row r="13" spans="1:10" s="31" customFormat="1" ht="31.5" x14ac:dyDescent="0.25">
      <c r="A13" s="50">
        <v>13</v>
      </c>
      <c r="B13" s="6" t="s">
        <v>6</v>
      </c>
      <c r="C13" s="53">
        <v>1200000</v>
      </c>
      <c r="D13" s="35"/>
      <c r="E13" s="14"/>
      <c r="F13" s="262"/>
      <c r="G13" s="263"/>
      <c r="H13" s="263"/>
      <c r="I13" s="14"/>
      <c r="J13" s="262"/>
    </row>
    <row r="14" spans="1:10" s="31" customFormat="1" ht="15.75" x14ac:dyDescent="0.25">
      <c r="A14" s="50">
        <v>14</v>
      </c>
      <c r="B14" s="6" t="s">
        <v>7</v>
      </c>
      <c r="C14" s="64">
        <v>600000</v>
      </c>
      <c r="D14" s="35"/>
      <c r="E14" s="14"/>
      <c r="F14" s="262"/>
      <c r="G14" s="263"/>
      <c r="H14" s="263"/>
      <c r="I14" s="14"/>
      <c r="J14" s="262"/>
    </row>
    <row r="15" spans="1:10" s="31" customFormat="1" ht="15.75" x14ac:dyDescent="0.25">
      <c r="A15" s="50">
        <v>15</v>
      </c>
      <c r="B15" s="6" t="s">
        <v>8</v>
      </c>
      <c r="C15" s="64">
        <v>720000</v>
      </c>
      <c r="D15" s="35"/>
      <c r="E15" s="14"/>
      <c r="F15" s="262"/>
      <c r="G15" s="263"/>
      <c r="H15" s="263"/>
      <c r="I15" s="14"/>
      <c r="J15" s="262"/>
    </row>
    <row r="16" spans="1:10" s="49" customFormat="1" ht="63" x14ac:dyDescent="0.25">
      <c r="A16" s="43">
        <v>16</v>
      </c>
      <c r="B16" s="44" t="s">
        <v>121</v>
      </c>
      <c r="C16" s="64">
        <v>2500000</v>
      </c>
      <c r="D16" s="45"/>
      <c r="E16" s="246"/>
      <c r="F16" s="74"/>
      <c r="G16" s="70"/>
      <c r="H16" s="70"/>
      <c r="I16" s="65"/>
      <c r="J16" s="246" t="s">
        <v>122</v>
      </c>
    </row>
    <row r="17" spans="1:10" s="49" customFormat="1" ht="63" x14ac:dyDescent="0.25">
      <c r="A17" s="43">
        <v>17</v>
      </c>
      <c r="B17" s="6" t="s">
        <v>168</v>
      </c>
      <c r="C17" s="64">
        <v>800000</v>
      </c>
      <c r="D17" s="45"/>
      <c r="E17" s="246"/>
      <c r="F17" s="74"/>
      <c r="G17" s="70"/>
      <c r="H17" s="70"/>
      <c r="I17" s="65"/>
      <c r="J17" s="67" t="s">
        <v>385</v>
      </c>
    </row>
    <row r="18" spans="1:10" s="31" customFormat="1" ht="15.75" x14ac:dyDescent="0.25">
      <c r="A18" s="83">
        <v>18</v>
      </c>
      <c r="B18" s="7" t="s">
        <v>85</v>
      </c>
      <c r="C18" s="64">
        <v>200000</v>
      </c>
      <c r="D18" s="35"/>
      <c r="E18" s="14"/>
      <c r="F18" s="262"/>
      <c r="G18" s="263"/>
      <c r="H18" s="263"/>
      <c r="I18" s="14"/>
      <c r="J18" s="262"/>
    </row>
    <row r="19" spans="1:10" s="31" customFormat="1" ht="75" customHeight="1" x14ac:dyDescent="0.25">
      <c r="A19" s="83">
        <v>19</v>
      </c>
      <c r="B19" s="7" t="s">
        <v>243</v>
      </c>
      <c r="C19" s="64"/>
      <c r="D19" s="35"/>
      <c r="E19" s="14"/>
      <c r="F19" s="262"/>
      <c r="G19" s="263"/>
      <c r="H19" s="263"/>
      <c r="I19" s="14"/>
      <c r="J19" s="264" t="s">
        <v>244</v>
      </c>
    </row>
    <row r="20" spans="1:10" s="31" customFormat="1" ht="94.5" x14ac:dyDescent="0.25">
      <c r="A20" s="84">
        <v>21</v>
      </c>
      <c r="B20" s="7" t="s">
        <v>248</v>
      </c>
      <c r="C20" s="64"/>
      <c r="D20" s="35"/>
      <c r="E20" s="14"/>
      <c r="F20" s="262"/>
      <c r="G20" s="263"/>
      <c r="H20" s="263"/>
      <c r="I20" s="265" t="s">
        <v>251</v>
      </c>
      <c r="J20" s="264" t="s">
        <v>250</v>
      </c>
    </row>
    <row r="21" spans="1:10" s="31" customFormat="1" ht="15.75" x14ac:dyDescent="0.25">
      <c r="A21" s="84">
        <v>22</v>
      </c>
      <c r="B21" s="7" t="s">
        <v>249</v>
      </c>
      <c r="C21" s="64"/>
      <c r="D21" s="35"/>
      <c r="E21" s="14"/>
      <c r="F21" s="262"/>
      <c r="G21" s="263"/>
      <c r="H21" s="263"/>
      <c r="I21" s="14"/>
      <c r="J21" s="264"/>
    </row>
    <row r="22" spans="1:10" s="31" customFormat="1" ht="94.5" x14ac:dyDescent="0.25">
      <c r="A22" s="99">
        <v>23</v>
      </c>
      <c r="B22" s="7" t="s">
        <v>253</v>
      </c>
      <c r="C22" s="64"/>
      <c r="D22" s="35"/>
      <c r="E22" s="14"/>
      <c r="F22" s="262"/>
      <c r="G22" s="263"/>
      <c r="H22" s="263"/>
      <c r="I22" s="14"/>
      <c r="J22" s="264" t="s">
        <v>254</v>
      </c>
    </row>
    <row r="23" spans="1:10" s="31" customFormat="1" ht="94.5" x14ac:dyDescent="0.25">
      <c r="A23" s="99">
        <v>24</v>
      </c>
      <c r="B23" s="7" t="s">
        <v>256</v>
      </c>
      <c r="C23" s="64"/>
      <c r="D23" s="35"/>
      <c r="E23" s="14"/>
      <c r="F23" s="262"/>
      <c r="G23" s="263"/>
      <c r="H23" s="263"/>
      <c r="I23" s="14"/>
      <c r="J23" s="264" t="s">
        <v>255</v>
      </c>
    </row>
    <row r="24" spans="1:10" ht="18.75" x14ac:dyDescent="0.25">
      <c r="C24" s="23">
        <f>SUM(C3:C23)</f>
        <v>14920000</v>
      </c>
      <c r="D24" s="33">
        <f>SUM(D5:D23)</f>
        <v>0</v>
      </c>
    </row>
    <row r="27" spans="1:10" s="31" customFormat="1" ht="15.75" x14ac:dyDescent="0.25">
      <c r="A27" s="3"/>
      <c r="B27" s="4" t="s">
        <v>2</v>
      </c>
      <c r="C27" s="4" t="s">
        <v>86</v>
      </c>
      <c r="D27" s="3"/>
      <c r="E27" s="3"/>
      <c r="F27" s="3"/>
      <c r="G27" s="3"/>
      <c r="H27" s="3"/>
      <c r="I27" s="3"/>
      <c r="J27" s="1"/>
    </row>
    <row r="30" spans="1:10" s="31" customFormat="1" x14ac:dyDescent="0.25">
      <c r="A30" s="3"/>
      <c r="B30" s="3" t="s">
        <v>3</v>
      </c>
      <c r="C30" s="3"/>
      <c r="D30" s="3"/>
      <c r="E30" s="3"/>
      <c r="F30" s="3"/>
      <c r="G30" s="3"/>
      <c r="H30" s="1"/>
    </row>
    <row r="31" spans="1:10" s="31" customFormat="1" x14ac:dyDescent="0.25">
      <c r="A31" s="3"/>
      <c r="B31" s="3" t="s">
        <v>4</v>
      </c>
      <c r="C31" s="3"/>
      <c r="D31" s="3"/>
      <c r="E31" s="3"/>
      <c r="F31" s="3"/>
      <c r="G31" s="3"/>
      <c r="H31" s="1"/>
    </row>
  </sheetData>
  <mergeCells count="1">
    <mergeCell ref="A1:J1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2FAC-6D6E-4C41-82FE-93F299CF08B8}">
  <dimension ref="A1:J24"/>
  <sheetViews>
    <sheetView workbookViewId="0">
      <selection activeCell="B9" sqref="B9"/>
    </sheetView>
  </sheetViews>
  <sheetFormatPr defaultRowHeight="15" x14ac:dyDescent="0.25"/>
  <cols>
    <col min="1" max="1" width="6.7109375" customWidth="1"/>
    <col min="2" max="2" width="62.140625" customWidth="1"/>
    <col min="3" max="3" width="19" customWidth="1"/>
    <col min="4" max="4" width="18.42578125" customWidth="1"/>
    <col min="5" max="5" width="18.140625" customWidth="1"/>
    <col min="6" max="6" width="14.5703125" customWidth="1"/>
    <col min="7" max="7" width="13.7109375" customWidth="1"/>
    <col min="8" max="8" width="19.28515625" customWidth="1"/>
    <col min="9" max="9" width="12.5703125" customWidth="1"/>
    <col min="10" max="10" width="15.5703125" customWidth="1"/>
  </cols>
  <sheetData>
    <row r="1" spans="1:10" s="31" customFormat="1" ht="32.25" customHeight="1" x14ac:dyDescent="0.25">
      <c r="A1" s="307" t="s">
        <v>389</v>
      </c>
      <c r="B1" s="307"/>
      <c r="C1" s="307"/>
      <c r="D1" s="306"/>
      <c r="E1" s="306"/>
      <c r="F1" s="306"/>
      <c r="G1" s="306"/>
      <c r="H1" s="306"/>
      <c r="I1" s="306"/>
      <c r="J1" s="306"/>
    </row>
    <row r="2" spans="1:10" s="31" customFormat="1" ht="47.25" x14ac:dyDescent="0.25">
      <c r="A2" s="62" t="s">
        <v>1</v>
      </c>
      <c r="B2" s="5" t="s">
        <v>0</v>
      </c>
      <c r="C2" s="63" t="s">
        <v>20</v>
      </c>
      <c r="D2" s="63" t="s">
        <v>21</v>
      </c>
      <c r="E2" s="62" t="s">
        <v>203</v>
      </c>
      <c r="F2" s="14" t="s">
        <v>16</v>
      </c>
      <c r="G2" s="15" t="s">
        <v>17</v>
      </c>
      <c r="H2" s="14" t="s">
        <v>18</v>
      </c>
      <c r="I2" s="36" t="s">
        <v>67</v>
      </c>
      <c r="J2" s="36" t="s">
        <v>36</v>
      </c>
    </row>
    <row r="3" spans="1:10" s="31" customFormat="1" ht="47.25" x14ac:dyDescent="0.25">
      <c r="A3" s="62">
        <v>3</v>
      </c>
      <c r="B3" s="7" t="s">
        <v>169</v>
      </c>
      <c r="C3" s="64">
        <v>6000000</v>
      </c>
      <c r="D3" s="63"/>
      <c r="E3" s="62"/>
      <c r="F3" s="14"/>
      <c r="G3" s="15"/>
      <c r="H3" s="14"/>
      <c r="I3" s="36"/>
      <c r="J3" s="36"/>
    </row>
    <row r="4" spans="1:10" s="31" customFormat="1" ht="30" x14ac:dyDescent="0.25">
      <c r="A4" s="62">
        <v>4</v>
      </c>
      <c r="B4" s="2" t="s">
        <v>170</v>
      </c>
      <c r="C4" s="64">
        <v>2000000</v>
      </c>
      <c r="D4" s="35"/>
      <c r="E4" s="36"/>
      <c r="F4" s="33"/>
      <c r="G4" s="34"/>
      <c r="H4" s="34"/>
      <c r="I4" s="36"/>
      <c r="J4" s="33"/>
    </row>
    <row r="5" spans="1:10" s="31" customFormat="1" ht="31.5" x14ac:dyDescent="0.25">
      <c r="A5" s="62">
        <v>5</v>
      </c>
      <c r="B5" s="7" t="s">
        <v>171</v>
      </c>
      <c r="C5" s="64">
        <v>2000000</v>
      </c>
      <c r="D5" s="35"/>
      <c r="E5" s="36"/>
      <c r="F5" s="33"/>
      <c r="G5" s="34"/>
      <c r="H5" s="34"/>
      <c r="I5" s="36"/>
      <c r="J5" s="33"/>
    </row>
    <row r="6" spans="1:10" s="31" customFormat="1" ht="31.5" x14ac:dyDescent="0.25">
      <c r="A6" s="62">
        <v>6</v>
      </c>
      <c r="B6" s="7" t="s">
        <v>172</v>
      </c>
      <c r="C6" s="64">
        <v>300000</v>
      </c>
      <c r="D6" s="35"/>
      <c r="E6" s="36"/>
      <c r="F6" s="33"/>
      <c r="G6" s="34"/>
      <c r="H6" s="34"/>
      <c r="I6" s="36"/>
      <c r="J6" s="33"/>
    </row>
    <row r="7" spans="1:10" s="31" customFormat="1" ht="31.5" x14ac:dyDescent="0.25">
      <c r="A7" s="62">
        <v>7</v>
      </c>
      <c r="B7" s="7" t="s">
        <v>173</v>
      </c>
      <c r="C7" s="64">
        <v>4000000</v>
      </c>
      <c r="D7" s="35"/>
      <c r="E7" s="36"/>
      <c r="F7" s="33"/>
      <c r="G7" s="34"/>
      <c r="H7" s="34"/>
      <c r="I7" s="36"/>
      <c r="J7" s="33"/>
    </row>
    <row r="8" spans="1:10" s="31" customFormat="1" ht="15.75" x14ac:dyDescent="0.25">
      <c r="A8" s="62">
        <v>8</v>
      </c>
      <c r="B8" s="7" t="s">
        <v>174</v>
      </c>
      <c r="C8" s="64">
        <v>2000000</v>
      </c>
      <c r="D8" s="35"/>
      <c r="E8" s="36"/>
      <c r="F8" s="33"/>
      <c r="G8" s="34"/>
      <c r="H8" s="34"/>
      <c r="I8" s="36"/>
      <c r="J8" s="33"/>
    </row>
    <row r="9" spans="1:10" s="31" customFormat="1" ht="30" x14ac:dyDescent="0.25">
      <c r="A9" s="62">
        <v>10</v>
      </c>
      <c r="B9" s="2" t="s">
        <v>390</v>
      </c>
      <c r="C9" s="64">
        <v>1300000</v>
      </c>
      <c r="D9" s="35"/>
      <c r="E9" s="36"/>
      <c r="F9" s="33"/>
      <c r="G9" s="34"/>
      <c r="H9" s="34"/>
      <c r="I9" s="36"/>
      <c r="J9" s="33"/>
    </row>
    <row r="10" spans="1:10" s="31" customFormat="1" ht="15.75" x14ac:dyDescent="0.25">
      <c r="A10" s="62">
        <v>11</v>
      </c>
      <c r="B10" s="7" t="s">
        <v>175</v>
      </c>
      <c r="C10" s="64">
        <v>250000</v>
      </c>
      <c r="D10" s="35"/>
      <c r="E10" s="36"/>
      <c r="F10" s="33"/>
      <c r="G10" s="34"/>
      <c r="H10" s="34"/>
      <c r="I10" s="36"/>
      <c r="J10" s="33"/>
    </row>
    <row r="11" spans="1:10" s="31" customFormat="1" ht="31.5" x14ac:dyDescent="0.25">
      <c r="A11" s="62">
        <v>12</v>
      </c>
      <c r="B11" s="7" t="s">
        <v>176</v>
      </c>
      <c r="C11" s="64">
        <v>250000</v>
      </c>
      <c r="D11" s="35"/>
      <c r="E11" s="36"/>
      <c r="F11" s="33"/>
      <c r="G11" s="34"/>
      <c r="H11" s="34"/>
      <c r="I11" s="36"/>
      <c r="J11" s="33"/>
    </row>
    <row r="12" spans="1:10" s="31" customFormat="1" ht="31.5" x14ac:dyDescent="0.25">
      <c r="A12" s="62">
        <v>13</v>
      </c>
      <c r="B12" s="7" t="s">
        <v>177</v>
      </c>
      <c r="C12" s="64">
        <v>250000</v>
      </c>
      <c r="D12" s="35"/>
      <c r="E12" s="36"/>
      <c r="F12" s="33"/>
      <c r="G12" s="34"/>
      <c r="H12" s="34"/>
      <c r="I12" s="36"/>
      <c r="J12" s="33"/>
    </row>
    <row r="13" spans="1:10" s="31" customFormat="1" ht="31.5" x14ac:dyDescent="0.25">
      <c r="A13" s="62">
        <v>14</v>
      </c>
      <c r="B13" s="7" t="s">
        <v>178</v>
      </c>
      <c r="C13" s="64">
        <v>250000</v>
      </c>
      <c r="D13" s="35"/>
      <c r="E13" s="36"/>
      <c r="F13" s="33"/>
      <c r="G13" s="34"/>
      <c r="H13" s="34"/>
      <c r="I13" s="36"/>
      <c r="J13" s="33"/>
    </row>
    <row r="14" spans="1:10" s="49" customFormat="1" ht="31.5" x14ac:dyDescent="0.25">
      <c r="A14" s="43">
        <v>15</v>
      </c>
      <c r="B14" s="7" t="s">
        <v>179</v>
      </c>
      <c r="C14" s="53">
        <v>1150000</v>
      </c>
      <c r="D14" s="22"/>
      <c r="E14" s="37"/>
      <c r="F14" s="37"/>
      <c r="G14" s="56"/>
      <c r="H14" s="47"/>
      <c r="I14" s="48"/>
      <c r="J14" s="46"/>
    </row>
    <row r="15" spans="1:10" s="49" customFormat="1" ht="15.75" x14ac:dyDescent="0.25">
      <c r="A15" s="43">
        <v>16</v>
      </c>
      <c r="B15" s="7" t="s">
        <v>180</v>
      </c>
      <c r="C15" s="53">
        <v>1500000</v>
      </c>
      <c r="D15" s="22"/>
      <c r="E15" s="37"/>
      <c r="F15" s="48"/>
      <c r="G15" s="56"/>
      <c r="H15" s="47"/>
      <c r="I15" s="48"/>
      <c r="J15" s="46"/>
    </row>
    <row r="16" spans="1:10" s="31" customFormat="1" ht="15.75" x14ac:dyDescent="0.25">
      <c r="A16" s="62">
        <v>17</v>
      </c>
      <c r="B16" s="7" t="s">
        <v>181</v>
      </c>
      <c r="C16" s="53">
        <v>1500000</v>
      </c>
      <c r="D16" s="35"/>
      <c r="E16" s="36"/>
      <c r="F16" s="33"/>
      <c r="G16" s="34"/>
      <c r="H16" s="34"/>
      <c r="I16" s="36"/>
      <c r="J16" s="33"/>
    </row>
    <row r="17" spans="1:10" s="31" customFormat="1" ht="18.75" x14ac:dyDescent="0.25">
      <c r="C17" s="23">
        <f>SUM(C3:C16)</f>
        <v>22750000</v>
      </c>
      <c r="D17" s="33">
        <f>SUM(D4:D16)</f>
        <v>0</v>
      </c>
    </row>
    <row r="18" spans="1:10" s="31" customFormat="1" x14ac:dyDescent="0.25"/>
    <row r="19" spans="1:10" s="31" customFormat="1" x14ac:dyDescent="0.25"/>
    <row r="20" spans="1:10" s="31" customFormat="1" ht="15.75" x14ac:dyDescent="0.25">
      <c r="A20" s="3"/>
      <c r="B20" s="4" t="s">
        <v>2</v>
      </c>
      <c r="C20" s="4" t="s">
        <v>86</v>
      </c>
      <c r="D20" s="3"/>
      <c r="E20" s="3"/>
      <c r="F20" s="3"/>
      <c r="G20" s="3"/>
      <c r="H20" s="3"/>
      <c r="I20" s="3"/>
      <c r="J20" s="1"/>
    </row>
    <row r="21" spans="1:10" s="31" customFormat="1" x14ac:dyDescent="0.25"/>
    <row r="22" spans="1:10" s="31" customFormat="1" x14ac:dyDescent="0.25"/>
    <row r="23" spans="1:10" s="31" customFormat="1" x14ac:dyDescent="0.25">
      <c r="A23" s="3"/>
      <c r="B23" s="3" t="s">
        <v>3</v>
      </c>
      <c r="C23" s="3"/>
      <c r="D23" s="3"/>
      <c r="E23" s="3"/>
      <c r="F23" s="3"/>
      <c r="G23" s="3"/>
      <c r="H23" s="1"/>
    </row>
    <row r="24" spans="1:10" s="31" customFormat="1" x14ac:dyDescent="0.25">
      <c r="A24" s="3"/>
      <c r="B24" s="3" t="s">
        <v>4</v>
      </c>
      <c r="C24" s="3"/>
      <c r="D24" s="3"/>
      <c r="E24" s="3"/>
      <c r="F24" s="3"/>
      <c r="G24" s="3"/>
      <c r="H24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План 2025</vt:lpstr>
      <vt:lpstr> Судебное 2025</vt:lpstr>
      <vt:lpstr>Тех.прис.2025</vt:lpstr>
      <vt:lpstr>Дополнительно Тех.прис.2025</vt:lpstr>
      <vt:lpstr>План 2026</vt:lpstr>
      <vt:lpstr>Судебные 2026</vt:lpstr>
      <vt:lpstr>Тех.прис.2026</vt:lpstr>
      <vt:lpstr>План 2027</vt:lpstr>
      <vt:lpstr>План 2028</vt:lpstr>
      <vt:lpstr>План 2029</vt:lpstr>
      <vt:lpstr>План 2030</vt:lpstr>
      <vt:lpstr>'План 2025'!Заголовки_для_печати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Ирина Викторовна</dc:creator>
  <cp:lastModifiedBy>PTO4</cp:lastModifiedBy>
  <cp:lastPrinted>2026-01-26T11:47:40Z</cp:lastPrinted>
  <dcterms:created xsi:type="dcterms:W3CDTF">2022-11-23T07:48:26Z</dcterms:created>
  <dcterms:modified xsi:type="dcterms:W3CDTF">2026-06-29T07:57:57Z</dcterms:modified>
</cp:coreProperties>
</file>